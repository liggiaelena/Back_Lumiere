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L:\Lumiere\Back_Lumiere\documentation\"/>
    </mc:Choice>
  </mc:AlternateContent>
  <xr:revisionPtr revIDLastSave="0" documentId="13_ncr:1_{3057B2B7-09D7-4926-BF94-43EB9D825EFB}" xr6:coauthVersionLast="47" xr6:coauthVersionMax="47" xr10:uidLastSave="{00000000-0000-0000-0000-000000000000}"/>
  <bookViews>
    <workbookView xWindow="-120" yWindow="-120" windowWidth="29040" windowHeight="15720" tabRatio="719" activeTab="3" xr2:uid="{00000000-000D-0000-FFFF-FFFF00000000}"/>
  </bookViews>
  <sheets>
    <sheet name="admin-delete" sheetId="16" r:id="rId1"/>
    <sheet name="admin-get" sheetId="13" r:id="rId2"/>
    <sheet name="admin-put" sheetId="15" r:id="rId3"/>
    <sheet name="admin-post" sheetId="11" r:id="rId4"/>
    <sheet name="andon-get" sheetId="4" r:id="rId5"/>
    <sheet name="listener-get" sheetId="19" r:id="rId6"/>
    <sheet name="listener-post" sheetId="12" r:id="rId7"/>
    <sheet name="API" sheetId="17" r:id="rId8"/>
    <sheet name="help" sheetId="18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" i="11" l="1"/>
  <c r="C1" i="19"/>
  <c r="C1" i="4"/>
  <c r="C12" i="13"/>
  <c r="C21" i="13"/>
  <c r="C1" i="13"/>
  <c r="C7" i="17"/>
  <c r="C1" i="12"/>
  <c r="C6" i="17" s="1"/>
  <c r="D6" i="17"/>
  <c r="D7" i="17"/>
  <c r="D8" i="17"/>
  <c r="D9" i="17"/>
  <c r="D10" i="17"/>
  <c r="D11" i="17"/>
  <c r="D12" i="17"/>
  <c r="D13" i="17"/>
  <c r="D14" i="17"/>
  <c r="D15" i="17"/>
  <c r="D16" i="17"/>
  <c r="D17" i="17"/>
  <c r="D18" i="17"/>
  <c r="D19" i="17"/>
  <c r="D20" i="17"/>
  <c r="D21" i="17"/>
  <c r="D22" i="17"/>
  <c r="D23" i="17"/>
  <c r="D24" i="17"/>
  <c r="D5" i="17"/>
  <c r="C9" i="17"/>
  <c r="C10" i="17"/>
  <c r="C11" i="17"/>
  <c r="C12" i="17"/>
  <c r="C13" i="17"/>
  <c r="C14" i="17"/>
  <c r="C15" i="17"/>
  <c r="C16" i="17"/>
  <c r="C17" i="17"/>
  <c r="C18" i="17"/>
  <c r="C19" i="17"/>
  <c r="C20" i="17"/>
  <c r="C21" i="17"/>
  <c r="C22" i="17"/>
  <c r="C23" i="17"/>
  <c r="C24" i="17"/>
  <c r="C5" i="17"/>
  <c r="B6" i="17"/>
  <c r="B7" i="17"/>
  <c r="B8" i="17"/>
  <c r="B9" i="17"/>
  <c r="B10" i="17"/>
  <c r="B11" i="17"/>
  <c r="B12" i="17"/>
  <c r="B13" i="17"/>
  <c r="B14" i="17"/>
  <c r="B15" i="17"/>
  <c r="B16" i="17"/>
  <c r="B17" i="17"/>
  <c r="B18" i="17"/>
  <c r="B19" i="17"/>
  <c r="B20" i="17"/>
  <c r="B21" i="17"/>
  <c r="B22" i="17"/>
  <c r="B23" i="17"/>
  <c r="B24" i="17"/>
  <c r="B5" i="17"/>
  <c r="C46" i="4"/>
  <c r="C11" i="4"/>
  <c r="C34" i="4"/>
  <c r="C21" i="4"/>
  <c r="C68" i="4"/>
  <c r="C59" i="4"/>
  <c r="C89" i="4"/>
  <c r="C78" i="4"/>
  <c r="C32" i="12"/>
  <c r="C22" i="12"/>
  <c r="C13" i="11"/>
  <c r="C46" i="15"/>
  <c r="C34" i="15"/>
  <c r="C23" i="15"/>
  <c r="C12" i="15"/>
  <c r="C1" i="15"/>
  <c r="C61" i="13"/>
  <c r="C51" i="13"/>
  <c r="C41" i="13"/>
  <c r="C31" i="13"/>
  <c r="C8" i="17"/>
  <c r="C11" i="16"/>
  <c r="C1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Patrick O'Banion (TMMC)</author>
  </authors>
  <commentList>
    <comment ref="B2" authorId="0" shapeId="0" xr:uid="{00000000-0006-0000-0800-000001000000}">
      <text>
        <r>
          <rPr>
            <b/>
            <sz val="9"/>
            <color indexed="81"/>
            <rFont val="Tahoma"/>
            <charset val="1"/>
          </rPr>
          <t>Patrick O'Banion (TMMC):</t>
        </r>
        <r>
          <rPr>
            <sz val="9"/>
            <color indexed="81"/>
            <rFont val="Tahoma"/>
            <charset val="1"/>
          </rPr>
          <t xml:space="preserve">
TBD:
Still need to add more end points for sw updating…
</t>
        </r>
      </text>
    </comment>
  </commentList>
</comments>
</file>

<file path=xl/sharedStrings.xml><?xml version="1.0" encoding="utf-8"?>
<sst xmlns="http://schemas.openxmlformats.org/spreadsheetml/2006/main" count="570" uniqueCount="138">
  <si>
    <t>DELETE</t>
  </si>
  <si>
    <t>delete [DEV_ID]'s config on DB</t>
  </si>
  <si>
    <t>Parameters</t>
  </si>
  <si>
    <t>Name</t>
  </si>
  <si>
    <t>Description</t>
  </si>
  <si>
    <t>DEV_ID</t>
  </si>
  <si>
    <t>ID of the tag</t>
  </si>
  <si>
    <t>Responses</t>
  </si>
  <si>
    <t>Code</t>
  </si>
  <si>
    <t>2XX</t>
  </si>
  <si>
    <t>Success</t>
  </si>
  <si>
    <t>Model</t>
  </si>
  <si>
    <t>Example</t>
  </si>
  <si>
    <t>No model</t>
  </si>
  <si>
    <t>4XX</t>
  </si>
  <si>
    <t>Error</t>
  </si>
  <si>
    <t>delete [ASSET_ID] on DB</t>
  </si>
  <si>
    <t>ASSET_ID</t>
  </si>
  <si>
    <t>ID of the asset</t>
  </si>
  <si>
    <t>GET</t>
  </si>
  <si>
    <t>need details from Patrick</t>
  </si>
  <si>
    <t>[{
  id: string,
  dev_id: string,
  name: string,
  type: string,
  x: 2 digit accurate number (not a required field, as only needed for anchors),
  y: 2 digit accurate number (not a required field, as only needed for anchors),
  z: 2 digit accurate number (not a required field, as only needed for anchors)
},… ]</t>
  </si>
  <si>
    <t>[{
  id: "1",
  dev_id: "9037",
  name: "SAAnchor2",
  type: "anchor",
  x: 20.00,
  y: 0.00,
  z: 2.00
},… ]</t>
  </si>
  <si>
    <t>GROUP_ID</t>
  </si>
  <si>
    <t>ID of the group</t>
  </si>
  <si>
    <t>get details of all assets in [GROUP_ID], with type anchor, from DB</t>
  </si>
  <si>
    <t>get details of all assets in [GROUP_ID], with type tag, from DB</t>
  </si>
  <si>
    <t>[{
  id: "1",
  dev_id: "9037",
  name: "DTLM",
  type: "tag",
  x: 20.00,
  y: 0.00,
  z: 2.00
},… ]</t>
  </si>
  <si>
    <t>get details of [ASSET_ID] from DB</t>
  </si>
  <si>
    <t>{
  id: string,
  dev_id: string,
  name: string,
  type: string,
  x: 2 digit accurate number (not a required field, as only needed for anchors),
  y: 2 digit accurate number (not a required field, as only needed for anchors),
  z: 2 digit accurate number (not a required field, as only needed for anchors)
}</t>
  </si>
  <si>
    <t>{
  id: "1",
  dev_id: "9037",
  name: "SAAnchor2",
  type: "anchor",
  x: 20.00,
  y: 0.00,
  z: 2.00
}</t>
  </si>
  <si>
    <t>get details of asset by [DEV_ID] from DB</t>
  </si>
  <si>
    <t>ID of the device</t>
  </si>
  <si>
    <t>PUT</t>
  </si>
  <si>
    <t>push the config to [DEV_ID]</t>
  </si>
  <si>
    <t>FC_CONFIG =&gt; Listener</t>
  </si>
  <si>
    <t>send status request to listener, for [DEV_ID], listener replies with a POST</t>
  </si>
  <si>
    <t>FC_STATUS_REQ =&gt; Listener</t>
  </si>
  <si>
    <t>request reboot for [DEV_ID]</t>
  </si>
  <si>
    <t>FC_REBOOT =&gt; Listener</t>
  </si>
  <si>
    <t>turn gpio (LEDs, or other I/O) on/off</t>
  </si>
  <si>
    <t>FC_GPIO =&gt; Listener</t>
  </si>
  <si>
    <t>MASK</t>
  </si>
  <si>
    <t>On/Off</t>
  </si>
  <si>
    <t>send routing table request to listener, for [DEV_ID], listener replies with a POST</t>
  </si>
  <si>
    <t>FC_RT_RQ =&gt; Listener</t>
  </si>
  <si>
    <t>POST</t>
  </si>
  <si>
    <t>create/update asset for [ASSET_ID] to DB</t>
  </si>
  <si>
    <t>return an array of latest locations of all tags, for passed group</t>
  </si>
  <si>
    <t>[{
  "x": number,
  "y": number,
  "z": 3,
  "id": "string",
  "name": "string",
  "type": "string",
  "timestamp": "string"
}, …]</t>
  </si>
  <si>
    <t>[{
  "x": 1,
  "y": 2,
  "z": 3,
  "id": "9037",
  "name": "F2",
  "type": "AGV",
  "timestamp": "2019-01-09T18:55:17+00:00"
}, …]</t>
  </si>
  <si>
    <t>return an array of locations for passed tag, between 2 datetime values</t>
  </si>
  <si>
    <t>START_DATETIME</t>
  </si>
  <si>
    <t xml:space="preserve">Start datetime for datetime range </t>
  </si>
  <si>
    <t>YYYY-MM-DDTHH:MM:SS+00:00</t>
  </si>
  <si>
    <t>END_DATETIME</t>
  </si>
  <si>
    <t xml:space="preserve">End datetime for datetime range </t>
  </si>
  <si>
    <t>[{
  "x": 2 decimal number,
  "y":2 decimal number,
  "z": 2 decimal number,
  "id": "string",
  "name": "string",
  "type": "string",
  "timestamp": "string"
}, …]</t>
  </si>
  <si>
    <t>[{
  "x": 1,
  "y": 2,
  "z": 3,
  "id": "9037",
  "name": "F2",
  "type": "AGV",
  "timestamp": "2019-01-09T18:55:17+00:00"
}, …]</t>
  </si>
  <si>
    <t>return an array of locations for all tags, in passed group, between 2 datetime values</t>
  </si>
  <si>
    <t>[{
  "x": 2 decimal number,
  "y": 2 decimal number,
  "z": 2 decimal number,
  "id": "string",
  "name": "string",
  "type": "string",
  "timestamp": "string"
}, …]</t>
  </si>
  <si>
    <t>return an array of anchor locations, for passed group</t>
  </si>
  <si>
    <t>[{
  "x": 2 decimal number,
  "y": 2 decimal number,
  "z": 2 decimal number,
  "id": "string"
}, …]</t>
  </si>
  <si>
    <t>[{
  "x": 0,
  "y": 0,
  "z": 0,
  "id": "1234"
}, …]</t>
  </si>
  <si>
    <t>return an array of all groups</t>
  </si>
  <si>
    <t>[{
  "group_id": "string",
  "app_type" "string",
  "name": "string"
}, …]</t>
  </si>
  <si>
    <t>[{
  "group_id": "1",
  "app_type" "2",
  "name": "NORTH WELD"
}, …]</t>
  </si>
  <si>
    <t>return all groups for given app_id</t>
  </si>
  <si>
    <t>APP_ID</t>
  </si>
  <si>
    <t xml:space="preserve">ID for application </t>
  </si>
  <si>
    <t>ANDON=1</t>
  </si>
  <si>
    <t>returns config for given application</t>
  </si>
  <si>
    <t>general application level config, not shop specific</t>
  </si>
  <si>
    <t>{
  "map": {"width": number, "height": number},
  "piv": [{"name": "string", "radius": number, "sides": number, "angle": number, "label": number, "icon": "string"}],
  "ratio": {"x": number, "y": number},
  "color": {"assigned": "string", "unassigned": "string", "anchor": "string", "outline": {"piv": "string", "error": "string", "idle": "string"}},
  "line_width": {"standard": number,"idle": number},
  "grids": {"detail": {"cols": number, "rowHeight": "string"}, "overview": {"cols": number, "rowHeight": "string"}},
  "countDown": {"current": number, "total": number},
  "filepath": {"img": "string"},
  "error": {"coordinates": [{"moveTo": [number,number], "lineTo": [number,number], "color": "string"}],"lineWidth": number},
  "trails": [number]
}</t>
  </si>
  <si>
    <t>{
  "map": {"width": 800,"height": 600},
  "piv": [{"name": "towmotor", "radius": 7, "sides": 12, "angle": 4, "label": 20, "icon": ""}, ...],
  "ratio": {"x": 1, "y": 1},
  "color": {"assigned": "green", "unassigned": "red", "anchor": "purple", "outline": {"piv": "black", "error": "red", "idle": "yellow"}},
  "line_width": {"standard": 1,"idle": 3},
  "grids": {"detail": {"cols": 3, "rowHeight": "40px"}, "overview": {"cols": 4, "rowHeight": "40px"}},
  "countDown": {"current": 0, "total": 1},
  "filepath": {"img": "/assets/img/"},
  "error": {"coordinates": [{"moveTo": [0,0], "lineTo": [0,3], "color": "orange"}, ...],"lineWidth": 2},
  "trails": ["All",500,250,100,50,25,10]
}</t>
  </si>
  <si>
    <t>returns config for given group</t>
  </si>
  <si>
    <t>will multiple listeners have same coordinate base ie. 0-80 &amp; 0-80, or 0-80 &amp; 80-160</t>
  </si>
  <si>
    <t>ID for group</t>
  </si>
  <si>
    <t>[{
  "name": "string",
  "img": "string",
  "group_id": "string",
  "width": number,
  "height": number,
  "zeroPoint": {
    "x": number,
    "y": number
  },
  "columns": {
    "x": number,
    "y": number
  },
  "tpcs": boolean,
  "piv": [
    "string"
  ],
  "grid": [
    {
      "grid": "string",
      "x": number,
      "y": number,
      "width": number,
      "height": number
    }]}]</t>
  </si>
  <si>
    <t>[{
  "name": "North Weld",
  "img": "nw.jpg",
  "group_id": "1",
  "width": 55,
  "height": 46,
  "zeroPoint": {
    "x": 317,
    "y": 235
  },
  "columns": {
    "x": 20,
    "y": 20
  },
  "tpcs": false,
  "piv": [
    "agv",
    "fork",
    "towmotor"
  ],
  "grid": [
    {
      "grid": "25.3",
      "x": 46,
      "y": 86,
      "width": 55,
      "height": 58
    }, ...]}, ... ]</t>
  </si>
  <si>
    <t>DEV_ID routing table contents</t>
  </si>
  <si>
    <t>?apikey=#####</t>
  </si>
  <si>
    <t>Priority List</t>
  </si>
  <si>
    <t>End Point</t>
  </si>
  <si>
    <t>Method</t>
  </si>
  <si>
    <t>Params</t>
  </si>
  <si>
    <t>Body</t>
  </si>
  <si>
    <t>Result</t>
  </si>
  <si>
    <t>Send to listener</t>
  </si>
  <si>
    <t>../sw/images/[SW_VER]/[BLOCK_ID]</t>
  </si>
  <si>
    <t>BLOCK_SIZE chunk of s/w IMG SW_VER indexed by BLOCK_ID</t>
  </si>
  <si>
    <t>Return a chunk (BLOCK_ID) from software img SW_VER to requestor</t>
  </si>
  <si>
    <t>N/A</t>
  </si>
  <si>
    <t>process still TBD</t>
  </si>
  <si>
    <t>&lt;--N/A</t>
    <phoneticPr fontId="9" type="noConversion"/>
  </si>
  <si>
    <t>&lt;--Base URL</t>
    <phoneticPr fontId="9" type="noConversion"/>
  </si>
  <si>
    <t>http://localhost:8001</t>
    <phoneticPr fontId="9" type="noConversion"/>
  </si>
  <si>
    <t>Upload facial photos and perform skin analysis</t>
    <phoneticPr fontId="9" type="noConversion"/>
  </si>
  <si>
    <t>file</t>
    <phoneticPr fontId="9" type="noConversion"/>
  </si>
  <si>
    <t>UploadFile (multipart/form-data, support JPG/PNG/WebP，Max 10MB)</t>
    <phoneticPr fontId="9" type="noConversion"/>
  </si>
  <si>
    <t>{ "detail": "Invalid format. Use JPG, PNG or WebP." }</t>
    <phoneticPr fontId="9" type="noConversion"/>
  </si>
  <si>
    <t>Service health check</t>
  </si>
  <si>
    <t>{ "status": "string", "service": "string" }</t>
  </si>
  <si>
    <t>{ "status": "ok", "service": "skin-analyzer" }</t>
  </si>
  <si>
    <t>need to determine what service is to be used, before model can be determined
does customer have an internal time sync?  If so, how accurate?</t>
    <phoneticPr fontId="9" type="noConversion"/>
  </si>
  <si>
    <t>{ "detail": "string" }</t>
    <phoneticPr fontId="9" type="noConversion"/>
  </si>
  <si>
    <t>Invalid format. Use JPG, PNG or WebP.</t>
    <phoneticPr fontId="9" type="noConversion"/>
  </si>
  <si>
    <t>Image too large. Maximum 10MB.</t>
    <phoneticPr fontId="9" type="noConversion"/>
  </si>
  <si>
    <t>{ "detail": "Image too large. Maximum 10MB." }</t>
    <phoneticPr fontId="9" type="noConversion"/>
  </si>
  <si>
    <t>Validation fail (ValueError inside pipeline)</t>
    <phoneticPr fontId="9" type="noConversion"/>
  </si>
  <si>
    <t>{ "detail": "No face detected in the uploaded image." }</t>
    <phoneticPr fontId="9" type="noConversion"/>
  </si>
  <si>
    <t>Internal error while analyzing the image.</t>
    <phoneticPr fontId="9" type="noConversion"/>
  </si>
  <si>
    <t>{ "detail": "Internal error while analyzing the image." }</t>
    <phoneticPr fontId="9" type="noConversion"/>
  </si>
  <si>
    <t>status of [DEV_ID]</t>
    <phoneticPr fontId="9" type="noConversion"/>
  </si>
  <si>
    <t>DEV_ID</t>
    <phoneticPr fontId="9" type="noConversion"/>
  </si>
  <si>
    <t>ID of the tag</t>
    <phoneticPr fontId="9" type="noConversion"/>
  </si>
  <si>
    <t>need details from Patrick</t>
    <phoneticPr fontId="9" type="noConversion"/>
  </si>
  <si>
    <t>Error</t>
    <phoneticPr fontId="9" type="noConversion"/>
  </si>
  <si>
    <t>{
  "tom_geral_fitzpatrick": "integer (1-6)",
  "tom_geral_hex": "string (#RRGGBB)",
  "fitzpatrick_source": "string (bisenet | claude)",
  "subtom_predominante": "string (quente | frio | neutro)",
  "regioes": {
    "testa/bochecha_e/nariz/queixo": {
      "tom_hex": "string",
      "tom_fitzpatrick": "integer",
      "subtom": "string",
      "oleosidade": "string",
      "imperfeicoes": "array [ { tipo: string, intensidade: string } ]",
      "uniformidade": "integer (0-10)",
      "notas": "string"
    }
  },
  "comparacao_tons": {
    "region_vs_region": {
      "delta": "float",
      "nivel": "string (alto | moderado | baixo)"
    }
  },
  "imperfeicoes": "array [ { tipo: string, intensidade: string, regiao: string } ]",
  "recommendations": "array [ { brand: string, shade_name: string, shade_code: string, undertone: string, shade_hex: string, price_range: string, where_to_buy: string } ]",
  "skin_tone": {
    "mean_rgb": "array [integer, integer, integer] | null",
    "mean_hex": "string | null",
    "median_rgb": "array [integer, integer, integer] | null",
    "median_hex": "string | null",
    "num_skin_pixels": "integer"
  }
}</t>
    <phoneticPr fontId="9" type="noConversion"/>
  </si>
  <si>
    <t>{
  "tom_geral_fitzpatrick": 3,
  "tom_geral_hex": "#d4a574",
  "fitzpatrick_source": "bisenet",
  "subtom_predominante": "neutro",
  "regioes": {
    "testa": {
      "tom_hex": "#d0a070",
      "tom_fitzpatrick": 3,
      "subtom": "quente",
      "oleosidade": "normal",
      "imperfeicoes": [
        {"tipo": "poro", "intensidade": "moderado"}
      ],
      "uniformidade": 7,
      "notas": "Slightly warmer than average; open pores."
    }
  },
  "comparacao_tons": {
    "testa_vs_bochecha_e": {
      "delta": 12.34,
      "nivel": "moderado"
    }
  },
  "imperfeicoes": [
    {"tipo": "poro", "intensidade": "moderado", "regiao": "testa"}
  ],
  "recommendations": [
    {
      "brand": "Fenty Beauty",
      "shade_name": "330N",
      "shade_code": "330N",
      "undertone": "neutro",
      "shade_hex": "#c9976f",
      "price_range": "$38–$42",
      "where_to_buy": "https://www.fentybeauty.com"
    }
  ],
  "skin_tone": {
    "mean_rgb": [212, 165, 116],
    "mean_hex": "#d4a574",
    "median_rgb": [215, 168, 119],
    "median_hex": "#d7a877",
    "num_skin_pixels": 45000
  }
}</t>
    <phoneticPr fontId="9" type="noConversion"/>
  </si>
  <si>
    <t>Retrieve a saved skin analysis result and its metadata from the database by its unique identifier.</t>
    <phoneticPr fontId="9" type="noConversion"/>
  </si>
  <si>
    <t>analyze_id</t>
    <phoneticPr fontId="9" type="noConversion"/>
  </si>
  <si>
    <t>{
  "id": "ana_xxxxxxxx (string)",
  "created_at": "ISO8601 timestamp",
  "tom_geral_fitzpatrick": 3,
  "tom_geral_hex": "#RRGGBB",
  "fitzpatrick_source": "claude",
  "subtom_predominante": "frio",
  "regioes": {},
  "comparacao_tons": {},
  "imperfeicoes": [],
  "recommendations": [],
  "skin_tone": {}
}</t>
    <phoneticPr fontId="9" type="noConversion"/>
  </si>
  <si>
    <t>Not Found: Analysis result not found for the given ID.</t>
    <phoneticPr fontId="9" type="noConversion"/>
  </si>
  <si>
    <t>Internal Server Error: Internal error while fetching the analysis from database.</t>
    <phoneticPr fontId="9" type="noConversion"/>
  </si>
  <si>
    <t>Service health check and live monitoring of API status and Core Database connectivity.</t>
    <phoneticPr fontId="9" type="noConversion"/>
  </si>
  <si>
    <t>{
  "status": "ok",
  "service": "skin-analyzer",
  "db": "ok"
}</t>
    <phoneticPr fontId="9" type="noConversion"/>
  </si>
  <si>
    <t>Returns "db": "unreachable" if the database connection fails.</t>
    <phoneticPr fontId="9" type="noConversion"/>
  </si>
  <si>
    <t>Monitor the execution source of the skin analyzer pipeline to detect model degradation (e.g., high ratio of 'claude' fallback over local 'bisenet').</t>
    <phoneticPr fontId="9" type="noConversion"/>
  </si>
  <si>
    <t>Metrics successfully calculated and retrieved.</t>
    <phoneticPr fontId="9" type="noConversion"/>
  </si>
  <si>
    <t>{
  "timestamp": "ISO8601 timestamp",
  "bisenet_success_rate": 0.95,
  "claude_fallback_count": 5,
  "status": "NORMAL"
}</t>
    <phoneticPr fontId="9" type="noConversion"/>
  </si>
  <si>
    <t>Internal Server Error: Failed to generate monitoring statistics.</t>
    <phoneticPr fontId="9" type="noConversion"/>
  </si>
  <si>
    <t>Create a new user account and profile in the system database, including required application-specific fields and initial user metadata.</t>
    <phoneticPr fontId="9" type="noConversion"/>
  </si>
  <si>
    <t>{
  "username": "string (required, unique)",
  "email": "string (required, valid email address)",
  "password": "string (required, hashed on backend)",
  "profile": {
    "first_name": "string",
    "last_name": "string",
    "age": "integer",
    "skin_type_self_assessed": "string (e.g., oily, dry, combination)"
  }
}</t>
    <phoneticPr fontId="9" type="noConversion"/>
  </si>
  <si>
    <t>Created: Account created successfully and stored in the database.</t>
    <phoneticPr fontId="9" type="noConversion"/>
  </si>
  <si>
    <t>Bad Request: Username or email already exists, or missing required fields.</t>
  </si>
  <si>
    <t>Unprocessable Entity: Invalid data format (e.g., poorly formatted email).</t>
  </si>
  <si>
    <t>Internal Server Error: Internal database error during user creation.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</si>
</sst>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u/>
      <sz val="11"/>
      <color theme="10"/>
      <name val="新細明體"/>
      <family val="2"/>
      <scheme val="minor"/>
    </font>
    <font>
      <sz val="11"/>
      <color theme="10"/>
      <name val="新細明體"/>
      <family val="2"/>
      <scheme val="minor"/>
    </font>
    <font>
      <sz val="11"/>
      <color rgb="FF303336"/>
      <name val="新細明體"/>
      <family val="2"/>
      <scheme val="minor"/>
    </font>
    <font>
      <sz val="10"/>
      <color theme="1"/>
      <name val="Courier New"/>
      <family val="3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b/>
      <sz val="10"/>
      <color theme="1"/>
      <name val="Courier New"/>
      <family val="3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7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wrapText="1"/>
    </xf>
    <xf numFmtId="0" fontId="1" fillId="2" borderId="1" xfId="0" applyFont="1" applyFill="1" applyBorder="1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1" fillId="3" borderId="1" xfId="0" applyFont="1" applyFill="1" applyBorder="1"/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2" borderId="3" xfId="0" applyFill="1" applyBorder="1"/>
    <xf numFmtId="0" fontId="0" fillId="0" borderId="3" xfId="0" applyBorder="1"/>
    <xf numFmtId="0" fontId="1" fillId="2" borderId="2" xfId="0" applyFont="1" applyFill="1" applyBorder="1"/>
    <xf numFmtId="0" fontId="0" fillId="2" borderId="4" xfId="0" applyFill="1" applyBorder="1"/>
    <xf numFmtId="0" fontId="1" fillId="0" borderId="2" xfId="0" applyFont="1" applyBorder="1"/>
    <xf numFmtId="0" fontId="0" fillId="0" borderId="4" xfId="0" applyBorder="1"/>
    <xf numFmtId="0" fontId="0" fillId="0" borderId="2" xfId="0" applyBorder="1"/>
    <xf numFmtId="0" fontId="3" fillId="0" borderId="0" xfId="1" applyFont="1" applyBorder="1" applyAlignment="1"/>
    <xf numFmtId="0" fontId="4" fillId="0" borderId="0" xfId="0" applyFont="1" applyAlignment="1">
      <alignment horizontal="left" vertical="center"/>
    </xf>
    <xf numFmtId="0" fontId="5" fillId="0" borderId="0" xfId="0" applyFont="1"/>
    <xf numFmtId="0" fontId="8" fillId="0" borderId="0" xfId="0" applyFont="1" applyAlignment="1">
      <alignment horizontal="center" vertical="center"/>
    </xf>
    <xf numFmtId="0" fontId="2" fillId="0" borderId="0" xfId="1" applyBorder="1" applyAlignment="1"/>
    <xf numFmtId="0" fontId="0" fillId="2" borderId="2" xfId="0" applyFill="1" applyBorder="1"/>
    <xf numFmtId="0" fontId="0" fillId="0" borderId="2" xfId="0" applyBorder="1" applyAlignment="1">
      <alignment wrapText="1"/>
    </xf>
    <xf numFmtId="0" fontId="1" fillId="0" borderId="9" xfId="0" applyFont="1" applyBorder="1"/>
    <xf numFmtId="0" fontId="0" fillId="0" borderId="9" xfId="0" applyBorder="1"/>
    <xf numFmtId="0" fontId="0" fillId="0" borderId="10" xfId="0" applyBorder="1"/>
    <xf numFmtId="0" fontId="1" fillId="0" borderId="13" xfId="0" applyFont="1" applyBorder="1"/>
    <xf numFmtId="0" fontId="0" fillId="2" borderId="13" xfId="0" applyFill="1" applyBorder="1" applyAlignment="1">
      <alignment wrapText="1"/>
    </xf>
    <xf numFmtId="0" fontId="0" fillId="0" borderId="16" xfId="0" applyBorder="1" applyAlignment="1">
      <alignment wrapText="1"/>
    </xf>
    <xf numFmtId="0" fontId="0" fillId="2" borderId="17" xfId="0" applyFill="1" applyBorder="1" applyAlignment="1">
      <alignment wrapText="1"/>
    </xf>
    <xf numFmtId="0" fontId="1" fillId="2" borderId="9" xfId="0" applyFont="1" applyFill="1" applyBorder="1"/>
    <xf numFmtId="0" fontId="0" fillId="2" borderId="9" xfId="0" applyFill="1" applyBorder="1"/>
    <xf numFmtId="0" fontId="0" fillId="2" borderId="10" xfId="0" applyFill="1" applyBorder="1"/>
    <xf numFmtId="0" fontId="1" fillId="2" borderId="13" xfId="0" applyFont="1" applyFill="1" applyBorder="1"/>
    <xf numFmtId="0" fontId="0" fillId="2" borderId="21" xfId="0" applyFill="1" applyBorder="1"/>
    <xf numFmtId="0" fontId="0" fillId="0" borderId="13" xfId="0" applyBorder="1" applyAlignment="1">
      <alignment wrapText="1"/>
    </xf>
    <xf numFmtId="0" fontId="0" fillId="0" borderId="21" xfId="0" applyBorder="1"/>
    <xf numFmtId="0" fontId="0" fillId="2" borderId="2" xfId="0" applyFill="1" applyBorder="1"/>
    <xf numFmtId="0" fontId="0" fillId="2" borderId="4" xfId="0" applyFill="1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/>
    <xf numFmtId="0" fontId="0" fillId="0" borderId="4" xfId="0" applyBorder="1"/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2" borderId="2" xfId="0" applyFont="1" applyFill="1" applyBorder="1"/>
    <xf numFmtId="0" fontId="1" fillId="2" borderId="4" xfId="0" applyFont="1" applyFill="1" applyBorder="1"/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2" xfId="0" applyFont="1" applyBorder="1"/>
    <xf numFmtId="0" fontId="1" fillId="0" borderId="4" xfId="0" applyFont="1" applyBorder="1"/>
    <xf numFmtId="0" fontId="0" fillId="0" borderId="2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4" xfId="0" applyFill="1" applyBorder="1" applyAlignment="1">
      <alignment horizontal="center" wrapText="1"/>
    </xf>
    <xf numFmtId="0" fontId="0" fillId="3" borderId="2" xfId="0" applyFill="1" applyBorder="1"/>
    <xf numFmtId="0" fontId="0" fillId="3" borderId="4" xfId="0" applyFill="1" applyBorder="1"/>
    <xf numFmtId="0" fontId="1" fillId="3" borderId="2" xfId="0" applyFont="1" applyFill="1" applyBorder="1"/>
    <xf numFmtId="0" fontId="1" fillId="3" borderId="4" xfId="0" applyFont="1" applyFill="1" applyBorder="1"/>
    <xf numFmtId="0" fontId="1" fillId="3" borderId="2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2" borderId="3" xfId="0" applyFont="1" applyFill="1" applyBorder="1"/>
    <xf numFmtId="0" fontId="1" fillId="0" borderId="3" xfId="0" applyFont="1" applyBorder="1"/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" xfId="0" applyBorder="1" applyAlignment="1">
      <alignment horizontal="left" wrapText="1"/>
    </xf>
    <xf numFmtId="0" fontId="0" fillId="0" borderId="12" xfId="0" applyBorder="1" applyAlignment="1">
      <alignment horizontal="left" wrapText="1"/>
    </xf>
    <xf numFmtId="0" fontId="0" fillId="0" borderId="6" xfId="0" applyBorder="1" applyAlignment="1">
      <alignment horizontal="center" vertical="center"/>
    </xf>
    <xf numFmtId="0" fontId="0" fillId="0" borderId="12" xfId="0" applyBorder="1"/>
    <xf numFmtId="0" fontId="0" fillId="0" borderId="16" xfId="0" applyBorder="1"/>
    <xf numFmtId="0" fontId="0" fillId="0" borderId="22" xfId="0" applyBorder="1"/>
    <xf numFmtId="0" fontId="0" fillId="0" borderId="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1" fillId="0" borderId="12" xfId="0" applyFont="1" applyBorder="1" applyAlignment="1">
      <alignment horizontal="left"/>
    </xf>
    <xf numFmtId="0" fontId="1" fillId="0" borderId="12" xfId="0" applyFont="1" applyBorder="1"/>
    <xf numFmtId="0" fontId="1" fillId="2" borderId="12" xfId="0" applyFont="1" applyFill="1" applyBorder="1" applyAlignment="1">
      <alignment horizontal="left"/>
    </xf>
    <xf numFmtId="0" fontId="1" fillId="2" borderId="12" xfId="0" applyFont="1" applyFill="1" applyBorder="1"/>
    <xf numFmtId="0" fontId="0" fillId="2" borderId="12" xfId="0" applyFill="1" applyBorder="1"/>
    <xf numFmtId="0" fontId="0" fillId="2" borderId="16" xfId="0" applyFill="1" applyBorder="1"/>
    <xf numFmtId="0" fontId="0" fillId="2" borderId="22" xfId="0" applyFill="1" applyBorder="1"/>
    <xf numFmtId="0" fontId="0" fillId="0" borderId="0" xfId="0" applyAlignment="1">
      <alignment horizontal="center"/>
    </xf>
    <xf numFmtId="0" fontId="0" fillId="2" borderId="5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4" xfId="0" applyBorder="1" applyAlignment="1">
      <alignment wrapText="1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localhost:8001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workbookViewId="0">
      <selection activeCell="H20" sqref="H20"/>
    </sheetView>
  </sheetViews>
  <sheetFormatPr defaultRowHeight="15.75" x14ac:dyDescent="0.25"/>
  <cols>
    <col min="2" max="2" width="8.7109375" bestFit="1" customWidth="1"/>
    <col min="3" max="3" width="53.7109375" bestFit="1" customWidth="1"/>
    <col min="4" max="4" width="30.28515625" bestFit="1" customWidth="1"/>
  </cols>
  <sheetData>
    <row r="1" spans="1:4" x14ac:dyDescent="0.25">
      <c r="A1" s="41"/>
      <c r="B1" s="3" t="s">
        <v>0</v>
      </c>
      <c r="C1" s="2" t="str">
        <f>API!$A$1 &amp; "/devices/config/[DEV_ID]" &amp;API!$A$2</f>
        <v>http://localhost:8001/devices/config/[DEV_ID]</v>
      </c>
      <c r="D1" s="2" t="s">
        <v>1</v>
      </c>
    </row>
    <row r="2" spans="1:4" x14ac:dyDescent="0.25">
      <c r="A2" s="41"/>
      <c r="B2" s="50" t="s">
        <v>2</v>
      </c>
      <c r="C2" s="51"/>
      <c r="D2" s="52"/>
    </row>
    <row r="3" spans="1:4" x14ac:dyDescent="0.25">
      <c r="A3" s="41"/>
      <c r="B3" s="3" t="s">
        <v>3</v>
      </c>
      <c r="C3" s="53" t="s">
        <v>4</v>
      </c>
      <c r="D3" s="54"/>
    </row>
    <row r="4" spans="1:4" x14ac:dyDescent="0.25">
      <c r="A4" s="41"/>
      <c r="B4" s="2" t="s">
        <v>5</v>
      </c>
      <c r="C4" s="43" t="s">
        <v>6</v>
      </c>
      <c r="D4" s="44"/>
    </row>
    <row r="5" spans="1:4" x14ac:dyDescent="0.25">
      <c r="A5" s="41"/>
      <c r="B5" s="50" t="s">
        <v>7</v>
      </c>
      <c r="C5" s="51"/>
      <c r="D5" s="52"/>
    </row>
    <row r="6" spans="1:4" x14ac:dyDescent="0.25">
      <c r="A6" s="41"/>
      <c r="B6" s="3" t="s">
        <v>8</v>
      </c>
      <c r="C6" s="53" t="s">
        <v>4</v>
      </c>
      <c r="D6" s="54"/>
    </row>
    <row r="7" spans="1:4" x14ac:dyDescent="0.25">
      <c r="A7" s="41"/>
      <c r="B7" s="2" t="s">
        <v>9</v>
      </c>
      <c r="C7" s="43" t="s">
        <v>10</v>
      </c>
      <c r="D7" s="44"/>
    </row>
    <row r="8" spans="1:4" x14ac:dyDescent="0.25">
      <c r="A8" s="41"/>
      <c r="B8" s="2"/>
      <c r="C8" s="3" t="s">
        <v>11</v>
      </c>
      <c r="D8" s="3" t="s">
        <v>12</v>
      </c>
    </row>
    <row r="9" spans="1:4" x14ac:dyDescent="0.25">
      <c r="A9" s="41"/>
      <c r="B9" s="2"/>
      <c r="C9" s="55" t="s">
        <v>13</v>
      </c>
      <c r="D9" s="56"/>
    </row>
    <row r="10" spans="1:4" x14ac:dyDescent="0.25">
      <c r="A10" s="41"/>
      <c r="B10" s="2" t="s">
        <v>14</v>
      </c>
      <c r="C10" s="43" t="s">
        <v>15</v>
      </c>
      <c r="D10" s="44"/>
    </row>
    <row r="11" spans="1:4" x14ac:dyDescent="0.25">
      <c r="A11" s="42"/>
      <c r="B11" s="5" t="s">
        <v>0</v>
      </c>
      <c r="C11" s="6" t="str">
        <f>API!$A$1 &amp; "/asset/[ASSET_ID]"&amp; API!$A$2</f>
        <v>http://localhost:8001/asset/[ASSET_ID]</v>
      </c>
      <c r="D11" s="6" t="s">
        <v>16</v>
      </c>
    </row>
    <row r="12" spans="1:4" x14ac:dyDescent="0.25">
      <c r="A12" s="42"/>
      <c r="B12" s="45" t="s">
        <v>2</v>
      </c>
      <c r="C12" s="46"/>
      <c r="D12" s="47"/>
    </row>
    <row r="13" spans="1:4" x14ac:dyDescent="0.25">
      <c r="A13" s="42"/>
      <c r="B13" s="5" t="s">
        <v>3</v>
      </c>
      <c r="C13" s="48" t="s">
        <v>4</v>
      </c>
      <c r="D13" s="49"/>
    </row>
    <row r="14" spans="1:4" x14ac:dyDescent="0.25">
      <c r="A14" s="42"/>
      <c r="B14" s="6" t="s">
        <v>17</v>
      </c>
      <c r="C14" s="39" t="s">
        <v>18</v>
      </c>
      <c r="D14" s="40"/>
    </row>
    <row r="15" spans="1:4" x14ac:dyDescent="0.25">
      <c r="A15" s="42"/>
      <c r="B15" s="45" t="s">
        <v>7</v>
      </c>
      <c r="C15" s="46"/>
      <c r="D15" s="47"/>
    </row>
    <row r="16" spans="1:4" x14ac:dyDescent="0.25">
      <c r="A16" s="42"/>
      <c r="B16" s="5" t="s">
        <v>8</v>
      </c>
      <c r="C16" s="48" t="s">
        <v>4</v>
      </c>
      <c r="D16" s="49"/>
    </row>
    <row r="17" spans="1:4" x14ac:dyDescent="0.25">
      <c r="A17" s="42"/>
      <c r="B17" s="6" t="s">
        <v>9</v>
      </c>
      <c r="C17" s="39" t="s">
        <v>10</v>
      </c>
      <c r="D17" s="40"/>
    </row>
    <row r="18" spans="1:4" x14ac:dyDescent="0.25">
      <c r="A18" s="42"/>
      <c r="B18" s="6"/>
      <c r="C18" s="5" t="s">
        <v>11</v>
      </c>
      <c r="D18" s="5" t="s">
        <v>12</v>
      </c>
    </row>
    <row r="19" spans="1:4" x14ac:dyDescent="0.25">
      <c r="A19" s="42"/>
      <c r="B19" s="6"/>
      <c r="C19" s="57" t="s">
        <v>13</v>
      </c>
      <c r="D19" s="58"/>
    </row>
    <row r="20" spans="1:4" x14ac:dyDescent="0.25">
      <c r="A20" s="42"/>
      <c r="B20" s="6" t="s">
        <v>14</v>
      </c>
      <c r="C20" s="39" t="s">
        <v>15</v>
      </c>
      <c r="D20" s="40"/>
    </row>
  </sheetData>
  <mergeCells count="18">
    <mergeCell ref="C16:D16"/>
    <mergeCell ref="C17:D17"/>
    <mergeCell ref="C20:D20"/>
    <mergeCell ref="A1:A10"/>
    <mergeCell ref="A11:A20"/>
    <mergeCell ref="C7:D7"/>
    <mergeCell ref="C10:D10"/>
    <mergeCell ref="B12:D12"/>
    <mergeCell ref="C13:D13"/>
    <mergeCell ref="C14:D14"/>
    <mergeCell ref="B15:D15"/>
    <mergeCell ref="B2:D2"/>
    <mergeCell ref="C3:D3"/>
    <mergeCell ref="C4:D4"/>
    <mergeCell ref="B5:D5"/>
    <mergeCell ref="C6:D6"/>
    <mergeCell ref="C9:D9"/>
    <mergeCell ref="C19:D19"/>
  </mergeCells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0"/>
  <sheetViews>
    <sheetView topLeftCell="A10" workbookViewId="0">
      <selection activeCell="B21" sqref="B21"/>
    </sheetView>
  </sheetViews>
  <sheetFormatPr defaultRowHeight="15.75" x14ac:dyDescent="0.25"/>
  <cols>
    <col min="2" max="2" width="9.7109375" bestFit="1" customWidth="1"/>
    <col min="3" max="3" width="64.5703125" bestFit="1" customWidth="1"/>
    <col min="4" max="4" width="82.42578125" customWidth="1"/>
  </cols>
  <sheetData>
    <row r="1" spans="1:4" x14ac:dyDescent="0.25">
      <c r="A1" s="80">
        <v>3</v>
      </c>
      <c r="B1" s="3" t="s">
        <v>19</v>
      </c>
      <c r="C1" s="2" t="str">
        <f>API!$A$1 &amp; "/api/analyze/{analyze_id}"&amp; API!$A$2</f>
        <v>http://localhost:8001/api/analyze/{analyze_id}</v>
      </c>
      <c r="D1" s="2" t="s">
        <v>120</v>
      </c>
    </row>
    <row r="2" spans="1:4" x14ac:dyDescent="0.25">
      <c r="A2" s="81"/>
      <c r="B2" s="50" t="s">
        <v>2</v>
      </c>
      <c r="C2" s="51"/>
      <c r="D2" s="52"/>
    </row>
    <row r="3" spans="1:4" x14ac:dyDescent="0.25">
      <c r="A3" s="81"/>
      <c r="B3" s="3" t="s">
        <v>3</v>
      </c>
      <c r="C3" s="53" t="s">
        <v>4</v>
      </c>
      <c r="D3" s="54"/>
    </row>
    <row r="4" spans="1:4" x14ac:dyDescent="0.25">
      <c r="A4" s="81"/>
      <c r="B4" s="2" t="s">
        <v>121</v>
      </c>
      <c r="C4" s="43"/>
      <c r="D4" s="44"/>
    </row>
    <row r="5" spans="1:4" x14ac:dyDescent="0.25">
      <c r="A5" s="81"/>
      <c r="B5" s="50" t="s">
        <v>7</v>
      </c>
      <c r="C5" s="51"/>
      <c r="D5" s="52"/>
    </row>
    <row r="6" spans="1:4" x14ac:dyDescent="0.25">
      <c r="A6" s="81"/>
      <c r="B6" s="3" t="s">
        <v>8</v>
      </c>
      <c r="C6" s="53" t="s">
        <v>4</v>
      </c>
      <c r="D6" s="54"/>
    </row>
    <row r="7" spans="1:4" x14ac:dyDescent="0.25">
      <c r="A7" s="81"/>
      <c r="B7" s="2">
        <v>200</v>
      </c>
      <c r="C7" s="43" t="s">
        <v>10</v>
      </c>
      <c r="D7" s="44"/>
    </row>
    <row r="8" spans="1:4" x14ac:dyDescent="0.25">
      <c r="A8" s="81"/>
      <c r="B8" s="2"/>
      <c r="C8" s="3" t="s">
        <v>11</v>
      </c>
      <c r="D8" s="3" t="s">
        <v>12</v>
      </c>
    </row>
    <row r="9" spans="1:4" ht="204.75" x14ac:dyDescent="0.25">
      <c r="A9" s="81"/>
      <c r="B9" s="2"/>
      <c r="C9" s="4" t="s">
        <v>122</v>
      </c>
      <c r="D9" s="4" t="s">
        <v>20</v>
      </c>
    </row>
    <row r="10" spans="1:4" x14ac:dyDescent="0.25">
      <c r="A10" s="81"/>
      <c r="B10" s="2">
        <v>400</v>
      </c>
      <c r="C10" s="43" t="s">
        <v>123</v>
      </c>
      <c r="D10" s="44"/>
    </row>
    <row r="11" spans="1:4" x14ac:dyDescent="0.25">
      <c r="A11" s="85"/>
      <c r="B11" s="2">
        <v>500</v>
      </c>
      <c r="C11" s="43" t="s">
        <v>124</v>
      </c>
      <c r="D11" s="44"/>
    </row>
    <row r="12" spans="1:4" x14ac:dyDescent="0.25">
      <c r="A12" s="103">
        <v>4</v>
      </c>
      <c r="B12" s="5" t="s">
        <v>19</v>
      </c>
      <c r="C12" s="6" t="str">
        <f>API!$A$1 &amp; "/"&amp; API!$A$2</f>
        <v>http://localhost:8001/</v>
      </c>
      <c r="D12" s="6" t="s">
        <v>125</v>
      </c>
    </row>
    <row r="13" spans="1:4" x14ac:dyDescent="0.25">
      <c r="A13" s="104"/>
      <c r="B13" s="45" t="s">
        <v>2</v>
      </c>
      <c r="C13" s="46"/>
      <c r="D13" s="47"/>
    </row>
    <row r="14" spans="1:4" x14ac:dyDescent="0.25">
      <c r="A14" s="104"/>
      <c r="B14" s="5" t="s">
        <v>3</v>
      </c>
      <c r="C14" s="48" t="s">
        <v>4</v>
      </c>
      <c r="D14" s="49"/>
    </row>
    <row r="15" spans="1:4" x14ac:dyDescent="0.25">
      <c r="A15" s="104"/>
      <c r="B15" s="45" t="s">
        <v>7</v>
      </c>
      <c r="C15" s="46"/>
      <c r="D15" s="47"/>
    </row>
    <row r="16" spans="1:4" x14ac:dyDescent="0.25">
      <c r="A16" s="104"/>
      <c r="B16" s="5" t="s">
        <v>8</v>
      </c>
      <c r="C16" s="48" t="s">
        <v>4</v>
      </c>
      <c r="D16" s="49"/>
    </row>
    <row r="17" spans="1:4" x14ac:dyDescent="0.25">
      <c r="A17" s="104"/>
      <c r="B17" s="6">
        <v>200</v>
      </c>
      <c r="C17" s="39" t="s">
        <v>10</v>
      </c>
      <c r="D17" s="40"/>
    </row>
    <row r="18" spans="1:4" x14ac:dyDescent="0.25">
      <c r="A18" s="104"/>
      <c r="B18" s="6"/>
      <c r="C18" s="5" t="s">
        <v>11</v>
      </c>
      <c r="D18" s="5" t="s">
        <v>12</v>
      </c>
    </row>
    <row r="19" spans="1:4" ht="78.75" x14ac:dyDescent="0.25">
      <c r="A19" s="104"/>
      <c r="B19" s="6"/>
      <c r="C19" s="7" t="s">
        <v>126</v>
      </c>
      <c r="D19" s="7"/>
    </row>
    <row r="20" spans="1:4" x14ac:dyDescent="0.25">
      <c r="A20" s="105"/>
      <c r="B20" s="6">
        <v>400</v>
      </c>
      <c r="C20" s="39" t="s">
        <v>127</v>
      </c>
      <c r="D20" s="40"/>
    </row>
    <row r="21" spans="1:4" x14ac:dyDescent="0.25">
      <c r="A21" s="74"/>
      <c r="B21" s="8" t="s">
        <v>19</v>
      </c>
      <c r="C21" s="9" t="str">
        <f>API!$A$1 &amp; "/"&amp; API!$A$2</f>
        <v>http://localhost:8001/</v>
      </c>
      <c r="D21" s="9" t="s">
        <v>125</v>
      </c>
    </row>
    <row r="22" spans="1:4" x14ac:dyDescent="0.25">
      <c r="A22" s="74"/>
      <c r="B22" s="63" t="s">
        <v>2</v>
      </c>
      <c r="C22" s="64"/>
      <c r="D22" s="65"/>
    </row>
    <row r="23" spans="1:4" x14ac:dyDescent="0.25">
      <c r="A23" s="74"/>
      <c r="B23" s="2" t="s">
        <v>23</v>
      </c>
      <c r="C23" s="43" t="s">
        <v>24</v>
      </c>
      <c r="D23" s="44"/>
    </row>
    <row r="24" spans="1:4" x14ac:dyDescent="0.25">
      <c r="A24" s="74"/>
      <c r="B24" s="8" t="s">
        <v>3</v>
      </c>
      <c r="C24" s="61" t="s">
        <v>4</v>
      </c>
      <c r="D24" s="62"/>
    </row>
    <row r="25" spans="1:4" x14ac:dyDescent="0.25">
      <c r="A25" s="74"/>
      <c r="B25" s="63" t="s">
        <v>7</v>
      </c>
      <c r="C25" s="64"/>
      <c r="D25" s="65"/>
    </row>
    <row r="26" spans="1:4" x14ac:dyDescent="0.25">
      <c r="A26" s="74"/>
      <c r="B26" s="8" t="s">
        <v>8</v>
      </c>
      <c r="C26" s="61" t="s">
        <v>4</v>
      </c>
      <c r="D26" s="62"/>
    </row>
    <row r="27" spans="1:4" x14ac:dyDescent="0.25">
      <c r="A27" s="74"/>
      <c r="B27" s="9" t="s">
        <v>9</v>
      </c>
      <c r="C27" s="59" t="s">
        <v>10</v>
      </c>
      <c r="D27" s="60"/>
    </row>
    <row r="28" spans="1:4" x14ac:dyDescent="0.25">
      <c r="A28" s="74"/>
      <c r="B28" s="9"/>
      <c r="C28" s="8" t="s">
        <v>11</v>
      </c>
      <c r="D28" s="8" t="s">
        <v>12</v>
      </c>
    </row>
    <row r="29" spans="1:4" ht="141.75" x14ac:dyDescent="0.25">
      <c r="A29" s="74"/>
      <c r="B29" s="9"/>
      <c r="C29" s="10" t="s">
        <v>21</v>
      </c>
      <c r="D29" s="10" t="s">
        <v>22</v>
      </c>
    </row>
    <row r="30" spans="1:4" x14ac:dyDescent="0.25">
      <c r="A30" s="74"/>
      <c r="B30" s="9" t="s">
        <v>14</v>
      </c>
      <c r="C30" s="59" t="s">
        <v>15</v>
      </c>
      <c r="D30" s="60"/>
    </row>
    <row r="31" spans="1:4" x14ac:dyDescent="0.25">
      <c r="A31" s="75"/>
      <c r="B31" s="5" t="s">
        <v>19</v>
      </c>
      <c r="C31" s="6" t="str">
        <f>API!$A$1 &amp; "/assets/anchors/[GROUP_ID]"&amp; API!$A$2</f>
        <v>http://localhost:8001/assets/anchors/[GROUP_ID]</v>
      </c>
      <c r="D31" s="6" t="s">
        <v>25</v>
      </c>
    </row>
    <row r="32" spans="1:4" x14ac:dyDescent="0.25">
      <c r="A32" s="75"/>
      <c r="B32" s="45" t="s">
        <v>2</v>
      </c>
      <c r="C32" s="46"/>
      <c r="D32" s="47"/>
    </row>
    <row r="33" spans="1:4" x14ac:dyDescent="0.25">
      <c r="A33" s="75"/>
      <c r="B33" s="5" t="s">
        <v>3</v>
      </c>
      <c r="C33" s="48" t="s">
        <v>4</v>
      </c>
      <c r="D33" s="49"/>
    </row>
    <row r="34" spans="1:4" x14ac:dyDescent="0.25">
      <c r="A34" s="75"/>
      <c r="B34" s="6" t="s">
        <v>23</v>
      </c>
      <c r="C34" s="39" t="s">
        <v>24</v>
      </c>
      <c r="D34" s="40"/>
    </row>
    <row r="35" spans="1:4" x14ac:dyDescent="0.25">
      <c r="A35" s="75"/>
      <c r="B35" s="45" t="s">
        <v>7</v>
      </c>
      <c r="C35" s="46"/>
      <c r="D35" s="47"/>
    </row>
    <row r="36" spans="1:4" x14ac:dyDescent="0.25">
      <c r="A36" s="75"/>
      <c r="B36" s="5" t="s">
        <v>8</v>
      </c>
      <c r="C36" s="48" t="s">
        <v>4</v>
      </c>
      <c r="D36" s="49"/>
    </row>
    <row r="37" spans="1:4" x14ac:dyDescent="0.25">
      <c r="A37" s="75"/>
      <c r="B37" s="6" t="s">
        <v>9</v>
      </c>
      <c r="C37" s="39" t="s">
        <v>10</v>
      </c>
      <c r="D37" s="40"/>
    </row>
    <row r="38" spans="1:4" x14ac:dyDescent="0.25">
      <c r="A38" s="75"/>
      <c r="B38" s="6"/>
      <c r="C38" s="5" t="s">
        <v>11</v>
      </c>
      <c r="D38" s="5" t="s">
        <v>12</v>
      </c>
    </row>
    <row r="39" spans="1:4" ht="141.75" x14ac:dyDescent="0.25">
      <c r="A39" s="75"/>
      <c r="B39" s="6"/>
      <c r="C39" s="7" t="s">
        <v>21</v>
      </c>
      <c r="D39" s="7" t="s">
        <v>22</v>
      </c>
    </row>
    <row r="40" spans="1:4" x14ac:dyDescent="0.25">
      <c r="A40" s="75"/>
      <c r="B40" s="6" t="s">
        <v>14</v>
      </c>
      <c r="C40" s="39" t="s">
        <v>15</v>
      </c>
      <c r="D40" s="40"/>
    </row>
    <row r="41" spans="1:4" x14ac:dyDescent="0.25">
      <c r="A41" s="41"/>
      <c r="B41" s="3" t="s">
        <v>19</v>
      </c>
      <c r="C41" s="2" t="str">
        <f>API!$A$1 &amp; "/assets/tags/[GROUP_ID]"&amp; API!$A$2</f>
        <v>http://localhost:8001/assets/tags/[GROUP_ID]</v>
      </c>
      <c r="D41" s="2" t="s">
        <v>26</v>
      </c>
    </row>
    <row r="42" spans="1:4" x14ac:dyDescent="0.25">
      <c r="A42" s="41"/>
      <c r="B42" s="50" t="s">
        <v>2</v>
      </c>
      <c r="C42" s="51"/>
      <c r="D42" s="52"/>
    </row>
    <row r="43" spans="1:4" x14ac:dyDescent="0.25">
      <c r="A43" s="41"/>
      <c r="B43" s="3" t="s">
        <v>3</v>
      </c>
      <c r="C43" s="53" t="s">
        <v>4</v>
      </c>
      <c r="D43" s="54"/>
    </row>
    <row r="44" spans="1:4" x14ac:dyDescent="0.25">
      <c r="A44" s="41"/>
      <c r="B44" s="2" t="s">
        <v>23</v>
      </c>
      <c r="C44" s="43" t="s">
        <v>24</v>
      </c>
      <c r="D44" s="44"/>
    </row>
    <row r="45" spans="1:4" x14ac:dyDescent="0.25">
      <c r="A45" s="41"/>
      <c r="B45" s="50" t="s">
        <v>7</v>
      </c>
      <c r="C45" s="51"/>
      <c r="D45" s="52"/>
    </row>
    <row r="46" spans="1:4" x14ac:dyDescent="0.25">
      <c r="A46" s="41"/>
      <c r="B46" s="3" t="s">
        <v>8</v>
      </c>
      <c r="C46" s="53" t="s">
        <v>4</v>
      </c>
      <c r="D46" s="54"/>
    </row>
    <row r="47" spans="1:4" x14ac:dyDescent="0.25">
      <c r="A47" s="41"/>
      <c r="B47" s="2" t="s">
        <v>9</v>
      </c>
      <c r="C47" s="43" t="s">
        <v>10</v>
      </c>
      <c r="D47" s="44"/>
    </row>
    <row r="48" spans="1:4" x14ac:dyDescent="0.25">
      <c r="A48" s="41"/>
      <c r="B48" s="2"/>
      <c r="C48" s="3" t="s">
        <v>11</v>
      </c>
      <c r="D48" s="3" t="s">
        <v>12</v>
      </c>
    </row>
    <row r="49" spans="1:4" ht="141.75" x14ac:dyDescent="0.25">
      <c r="A49" s="41"/>
      <c r="B49" s="2"/>
      <c r="C49" s="4" t="s">
        <v>21</v>
      </c>
      <c r="D49" s="4" t="s">
        <v>27</v>
      </c>
    </row>
    <row r="50" spans="1:4" x14ac:dyDescent="0.25">
      <c r="A50" s="41"/>
      <c r="B50" s="2" t="s">
        <v>14</v>
      </c>
      <c r="C50" s="43" t="s">
        <v>15</v>
      </c>
      <c r="D50" s="44"/>
    </row>
    <row r="51" spans="1:4" x14ac:dyDescent="0.25">
      <c r="A51" s="42"/>
      <c r="B51" s="5" t="s">
        <v>19</v>
      </c>
      <c r="C51" s="6" t="str">
        <f>API!$A$1 &amp; "/asset/asset/[ASSET_ID]"&amp; API!$A$2</f>
        <v>http://localhost:8001/asset/asset/[ASSET_ID]</v>
      </c>
      <c r="D51" s="6" t="s">
        <v>28</v>
      </c>
    </row>
    <row r="52" spans="1:4" x14ac:dyDescent="0.25">
      <c r="A52" s="42"/>
      <c r="B52" s="45" t="s">
        <v>2</v>
      </c>
      <c r="C52" s="46"/>
      <c r="D52" s="47"/>
    </row>
    <row r="53" spans="1:4" x14ac:dyDescent="0.25">
      <c r="A53" s="42"/>
      <c r="B53" s="5" t="s">
        <v>3</v>
      </c>
      <c r="C53" s="48" t="s">
        <v>4</v>
      </c>
      <c r="D53" s="49"/>
    </row>
    <row r="54" spans="1:4" x14ac:dyDescent="0.25">
      <c r="A54" s="42"/>
      <c r="B54" s="6" t="s">
        <v>17</v>
      </c>
      <c r="C54" s="39" t="s">
        <v>18</v>
      </c>
      <c r="D54" s="40"/>
    </row>
    <row r="55" spans="1:4" x14ac:dyDescent="0.25">
      <c r="A55" s="42"/>
      <c r="B55" s="45" t="s">
        <v>7</v>
      </c>
      <c r="C55" s="46"/>
      <c r="D55" s="47"/>
    </row>
    <row r="56" spans="1:4" x14ac:dyDescent="0.25">
      <c r="A56" s="42"/>
      <c r="B56" s="5" t="s">
        <v>8</v>
      </c>
      <c r="C56" s="48" t="s">
        <v>4</v>
      </c>
      <c r="D56" s="49"/>
    </row>
    <row r="57" spans="1:4" x14ac:dyDescent="0.25">
      <c r="A57" s="42"/>
      <c r="B57" s="6" t="s">
        <v>9</v>
      </c>
      <c r="C57" s="39" t="s">
        <v>10</v>
      </c>
      <c r="D57" s="40"/>
    </row>
    <row r="58" spans="1:4" x14ac:dyDescent="0.25">
      <c r="A58" s="42"/>
      <c r="B58" s="6"/>
      <c r="C58" s="5" t="s">
        <v>11</v>
      </c>
      <c r="D58" s="5" t="s">
        <v>12</v>
      </c>
    </row>
    <row r="59" spans="1:4" ht="141.75" x14ac:dyDescent="0.25">
      <c r="A59" s="42"/>
      <c r="B59" s="6"/>
      <c r="C59" s="7" t="s">
        <v>29</v>
      </c>
      <c r="D59" s="7" t="s">
        <v>30</v>
      </c>
    </row>
    <row r="60" spans="1:4" x14ac:dyDescent="0.25">
      <c r="A60" s="42"/>
      <c r="B60" s="6" t="s">
        <v>14</v>
      </c>
      <c r="C60" s="39" t="s">
        <v>15</v>
      </c>
      <c r="D60" s="40"/>
    </row>
    <row r="61" spans="1:4" x14ac:dyDescent="0.25">
      <c r="A61" s="41"/>
      <c r="B61" s="3" t="s">
        <v>19</v>
      </c>
      <c r="C61" s="2" t="str">
        <f>API!$A$1 &amp; "/asset/device/[DEV_ID]"&amp; API!$A$2</f>
        <v>http://localhost:8001/asset/device/[DEV_ID]</v>
      </c>
      <c r="D61" s="2" t="s">
        <v>31</v>
      </c>
    </row>
    <row r="62" spans="1:4" x14ac:dyDescent="0.25">
      <c r="A62" s="41"/>
      <c r="B62" s="50" t="s">
        <v>2</v>
      </c>
      <c r="C62" s="51"/>
      <c r="D62" s="52"/>
    </row>
    <row r="63" spans="1:4" x14ac:dyDescent="0.25">
      <c r="A63" s="41"/>
      <c r="B63" s="3" t="s">
        <v>3</v>
      </c>
      <c r="C63" s="53" t="s">
        <v>4</v>
      </c>
      <c r="D63" s="54"/>
    </row>
    <row r="64" spans="1:4" x14ac:dyDescent="0.25">
      <c r="A64" s="41"/>
      <c r="B64" s="2" t="s">
        <v>5</v>
      </c>
      <c r="C64" s="43" t="s">
        <v>32</v>
      </c>
      <c r="D64" s="44"/>
    </row>
    <row r="65" spans="1:4" x14ac:dyDescent="0.25">
      <c r="A65" s="41"/>
      <c r="B65" s="50" t="s">
        <v>7</v>
      </c>
      <c r="C65" s="51"/>
      <c r="D65" s="52"/>
    </row>
    <row r="66" spans="1:4" x14ac:dyDescent="0.25">
      <c r="A66" s="41"/>
      <c r="B66" s="3" t="s">
        <v>8</v>
      </c>
      <c r="C66" s="53" t="s">
        <v>4</v>
      </c>
      <c r="D66" s="54"/>
    </row>
    <row r="67" spans="1:4" x14ac:dyDescent="0.25">
      <c r="A67" s="41"/>
      <c r="B67" s="2" t="s">
        <v>9</v>
      </c>
      <c r="C67" s="43" t="s">
        <v>10</v>
      </c>
      <c r="D67" s="44"/>
    </row>
    <row r="68" spans="1:4" x14ac:dyDescent="0.25">
      <c r="A68" s="41"/>
      <c r="B68" s="2"/>
      <c r="C68" s="3" t="s">
        <v>11</v>
      </c>
      <c r="D68" s="3" t="s">
        <v>12</v>
      </c>
    </row>
    <row r="69" spans="1:4" ht="141.75" x14ac:dyDescent="0.25">
      <c r="A69" s="41"/>
      <c r="B69" s="2"/>
      <c r="C69" s="4" t="s">
        <v>29</v>
      </c>
      <c r="D69" s="4" t="s">
        <v>30</v>
      </c>
    </row>
    <row r="70" spans="1:4" x14ac:dyDescent="0.25">
      <c r="A70" s="41"/>
      <c r="B70" s="2" t="s">
        <v>14</v>
      </c>
      <c r="C70" s="43" t="s">
        <v>15</v>
      </c>
      <c r="D70" s="44"/>
    </row>
  </sheetData>
  <mergeCells count="56">
    <mergeCell ref="C10:D10"/>
    <mergeCell ref="C7:D7"/>
    <mergeCell ref="C6:D6"/>
    <mergeCell ref="B2:D2"/>
    <mergeCell ref="C3:D3"/>
    <mergeCell ref="C4:D4"/>
    <mergeCell ref="B5:D5"/>
    <mergeCell ref="C11:D11"/>
    <mergeCell ref="B13:D13"/>
    <mergeCell ref="C14:D14"/>
    <mergeCell ref="B15:D15"/>
    <mergeCell ref="C16:D16"/>
    <mergeCell ref="C17:D17"/>
    <mergeCell ref="C20:D20"/>
    <mergeCell ref="B22:D22"/>
    <mergeCell ref="C24:D24"/>
    <mergeCell ref="B25:D25"/>
    <mergeCell ref="C27:D27"/>
    <mergeCell ref="C30:D30"/>
    <mergeCell ref="C23:D23"/>
    <mergeCell ref="B32:D32"/>
    <mergeCell ref="C34:D34"/>
    <mergeCell ref="C33:D33"/>
    <mergeCell ref="C26:D26"/>
    <mergeCell ref="B35:D35"/>
    <mergeCell ref="C36:D36"/>
    <mergeCell ref="C37:D37"/>
    <mergeCell ref="C40:D40"/>
    <mergeCell ref="B42:D42"/>
    <mergeCell ref="C56:D56"/>
    <mergeCell ref="C57:D57"/>
    <mergeCell ref="C60:D60"/>
    <mergeCell ref="C54:D54"/>
    <mergeCell ref="C43:D43"/>
    <mergeCell ref="B45:D45"/>
    <mergeCell ref="C46:D46"/>
    <mergeCell ref="C47:D47"/>
    <mergeCell ref="C50:D50"/>
    <mergeCell ref="B52:D52"/>
    <mergeCell ref="C44:D44"/>
    <mergeCell ref="C70:D70"/>
    <mergeCell ref="A1:A11"/>
    <mergeCell ref="A12:A20"/>
    <mergeCell ref="A21:A30"/>
    <mergeCell ref="A31:A40"/>
    <mergeCell ref="A41:A50"/>
    <mergeCell ref="A51:A60"/>
    <mergeCell ref="A61:A70"/>
    <mergeCell ref="B62:D62"/>
    <mergeCell ref="C63:D63"/>
    <mergeCell ref="C64:D64"/>
    <mergeCell ref="B65:D65"/>
    <mergeCell ref="C66:D66"/>
    <mergeCell ref="C67:D67"/>
    <mergeCell ref="C53:D53"/>
    <mergeCell ref="B55:D55"/>
  </mergeCells>
  <phoneticPr fontId="9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6"/>
  <sheetViews>
    <sheetView workbookViewId="0">
      <selection activeCell="B47" sqref="B47:D47"/>
    </sheetView>
  </sheetViews>
  <sheetFormatPr defaultRowHeight="15.75" x14ac:dyDescent="0.25"/>
  <cols>
    <col min="2" max="2" width="7.140625" bestFit="1" customWidth="1"/>
    <col min="3" max="3" width="59.140625" bestFit="1" customWidth="1"/>
    <col min="4" max="4" width="66.28515625" bestFit="1" customWidth="1"/>
  </cols>
  <sheetData>
    <row r="1" spans="1:4" x14ac:dyDescent="0.25">
      <c r="A1" s="41"/>
      <c r="B1" s="3" t="s">
        <v>33</v>
      </c>
      <c r="C1" s="2" t="str">
        <f>API!$A$1 &amp; "/devices/config/[DEV_ID]"&amp; API!$A$2</f>
        <v>http://localhost:8001/devices/config/[DEV_ID]</v>
      </c>
      <c r="D1" s="2" t="s">
        <v>34</v>
      </c>
    </row>
    <row r="2" spans="1:4" x14ac:dyDescent="0.25">
      <c r="A2" s="41"/>
      <c r="B2" s="68" t="s">
        <v>35</v>
      </c>
      <c r="C2" s="69"/>
      <c r="D2" s="70"/>
    </row>
    <row r="3" spans="1:4" x14ac:dyDescent="0.25">
      <c r="A3" s="41"/>
      <c r="B3" s="50" t="s">
        <v>2</v>
      </c>
      <c r="C3" s="51"/>
      <c r="D3" s="52"/>
    </row>
    <row r="4" spans="1:4" x14ac:dyDescent="0.25">
      <c r="A4" s="41"/>
      <c r="B4" s="3" t="s">
        <v>3</v>
      </c>
      <c r="C4" s="53" t="s">
        <v>4</v>
      </c>
      <c r="D4" s="54"/>
    </row>
    <row r="5" spans="1:4" x14ac:dyDescent="0.25">
      <c r="A5" s="41"/>
      <c r="B5" s="2" t="s">
        <v>5</v>
      </c>
      <c r="C5" s="43" t="s">
        <v>6</v>
      </c>
      <c r="D5" s="44"/>
    </row>
    <row r="6" spans="1:4" x14ac:dyDescent="0.25">
      <c r="A6" s="41"/>
      <c r="B6" s="50" t="s">
        <v>7</v>
      </c>
      <c r="C6" s="51"/>
      <c r="D6" s="52"/>
    </row>
    <row r="7" spans="1:4" x14ac:dyDescent="0.25">
      <c r="A7" s="41"/>
      <c r="B7" s="3" t="s">
        <v>8</v>
      </c>
      <c r="C7" s="53" t="s">
        <v>4</v>
      </c>
      <c r="D7" s="54"/>
    </row>
    <row r="8" spans="1:4" x14ac:dyDescent="0.25">
      <c r="A8" s="41"/>
      <c r="B8" s="2" t="s">
        <v>9</v>
      </c>
      <c r="C8" s="43" t="s">
        <v>10</v>
      </c>
      <c r="D8" s="44"/>
    </row>
    <row r="9" spans="1:4" x14ac:dyDescent="0.25">
      <c r="A9" s="41"/>
      <c r="B9" s="2"/>
      <c r="C9" s="3" t="s">
        <v>11</v>
      </c>
      <c r="D9" s="3" t="s">
        <v>12</v>
      </c>
    </row>
    <row r="10" spans="1:4" x14ac:dyDescent="0.25">
      <c r="A10" s="41"/>
      <c r="B10" s="2"/>
      <c r="C10" s="4" t="s">
        <v>20</v>
      </c>
      <c r="D10" s="4" t="s">
        <v>20</v>
      </c>
    </row>
    <row r="11" spans="1:4" x14ac:dyDescent="0.25">
      <c r="A11" s="41"/>
      <c r="B11" s="2" t="s">
        <v>14</v>
      </c>
      <c r="C11" s="43" t="s">
        <v>15</v>
      </c>
      <c r="D11" s="44"/>
    </row>
    <row r="12" spans="1:4" x14ac:dyDescent="0.25">
      <c r="A12" s="42"/>
      <c r="B12" s="5" t="s">
        <v>33</v>
      </c>
      <c r="C12" s="6" t="str">
        <f>API!$A$1 &amp; "/devices/status/[DEV_ID]"&amp; API!$A$2</f>
        <v>http://localhost:8001/devices/status/[DEV_ID]</v>
      </c>
      <c r="D12" s="6" t="s">
        <v>36</v>
      </c>
    </row>
    <row r="13" spans="1:4" x14ac:dyDescent="0.25">
      <c r="A13" s="42"/>
      <c r="B13" s="71" t="s">
        <v>37</v>
      </c>
      <c r="C13" s="72"/>
      <c r="D13" s="73"/>
    </row>
    <row r="14" spans="1:4" x14ac:dyDescent="0.25">
      <c r="A14" s="42"/>
      <c r="B14" s="45" t="s">
        <v>2</v>
      </c>
      <c r="C14" s="46"/>
      <c r="D14" s="47"/>
    </row>
    <row r="15" spans="1:4" x14ac:dyDescent="0.25">
      <c r="A15" s="42"/>
      <c r="B15" s="5" t="s">
        <v>3</v>
      </c>
      <c r="C15" s="48" t="s">
        <v>4</v>
      </c>
      <c r="D15" s="49"/>
    </row>
    <row r="16" spans="1:4" x14ac:dyDescent="0.25">
      <c r="A16" s="42"/>
      <c r="B16" s="6" t="s">
        <v>5</v>
      </c>
      <c r="C16" s="39" t="s">
        <v>6</v>
      </c>
      <c r="D16" s="40"/>
    </row>
    <row r="17" spans="1:4" x14ac:dyDescent="0.25">
      <c r="A17" s="42"/>
      <c r="B17" s="45" t="s">
        <v>7</v>
      </c>
      <c r="C17" s="46"/>
      <c r="D17" s="47"/>
    </row>
    <row r="18" spans="1:4" x14ac:dyDescent="0.25">
      <c r="A18" s="42"/>
      <c r="B18" s="5" t="s">
        <v>8</v>
      </c>
      <c r="C18" s="48" t="s">
        <v>4</v>
      </c>
      <c r="D18" s="49"/>
    </row>
    <row r="19" spans="1:4" x14ac:dyDescent="0.25">
      <c r="A19" s="42"/>
      <c r="B19" s="6" t="s">
        <v>9</v>
      </c>
      <c r="C19" s="39" t="s">
        <v>10</v>
      </c>
      <c r="D19" s="40"/>
    </row>
    <row r="20" spans="1:4" x14ac:dyDescent="0.25">
      <c r="A20" s="42"/>
      <c r="B20" s="6"/>
      <c r="C20" s="5" t="s">
        <v>11</v>
      </c>
      <c r="D20" s="5" t="s">
        <v>12</v>
      </c>
    </row>
    <row r="21" spans="1:4" x14ac:dyDescent="0.25">
      <c r="A21" s="42"/>
      <c r="B21" s="6"/>
      <c r="C21" s="7" t="s">
        <v>20</v>
      </c>
      <c r="D21" s="7" t="s">
        <v>20</v>
      </c>
    </row>
    <row r="22" spans="1:4" x14ac:dyDescent="0.25">
      <c r="A22" s="42"/>
      <c r="B22" s="6" t="s">
        <v>14</v>
      </c>
      <c r="C22" s="39" t="s">
        <v>15</v>
      </c>
      <c r="D22" s="40"/>
    </row>
    <row r="23" spans="1:4" x14ac:dyDescent="0.25">
      <c r="A23" s="41"/>
      <c r="B23" s="3" t="s">
        <v>33</v>
      </c>
      <c r="C23" s="2" t="str">
        <f>API!$A$1 &amp; "/devices/restart/[DEV_ID]"&amp; API!$A$2</f>
        <v>http://localhost:8001/devices/restart/[DEV_ID]</v>
      </c>
      <c r="D23" s="2" t="s">
        <v>38</v>
      </c>
    </row>
    <row r="24" spans="1:4" x14ac:dyDescent="0.25">
      <c r="A24" s="41"/>
      <c r="B24" s="68" t="s">
        <v>39</v>
      </c>
      <c r="C24" s="69"/>
      <c r="D24" s="70"/>
    </row>
    <row r="25" spans="1:4" x14ac:dyDescent="0.25">
      <c r="A25" s="41"/>
      <c r="B25" s="50" t="s">
        <v>2</v>
      </c>
      <c r="C25" s="51"/>
      <c r="D25" s="52"/>
    </row>
    <row r="26" spans="1:4" x14ac:dyDescent="0.25">
      <c r="A26" s="41"/>
      <c r="B26" s="3" t="s">
        <v>3</v>
      </c>
      <c r="C26" s="53" t="s">
        <v>4</v>
      </c>
      <c r="D26" s="54"/>
    </row>
    <row r="27" spans="1:4" x14ac:dyDescent="0.25">
      <c r="A27" s="41"/>
      <c r="B27" s="2" t="s">
        <v>5</v>
      </c>
      <c r="C27" s="43" t="s">
        <v>6</v>
      </c>
      <c r="D27" s="44"/>
    </row>
    <row r="28" spans="1:4" x14ac:dyDescent="0.25">
      <c r="A28" s="41"/>
      <c r="B28" s="50" t="s">
        <v>7</v>
      </c>
      <c r="C28" s="51"/>
      <c r="D28" s="52"/>
    </row>
    <row r="29" spans="1:4" x14ac:dyDescent="0.25">
      <c r="A29" s="41"/>
      <c r="B29" s="3" t="s">
        <v>8</v>
      </c>
      <c r="C29" s="53" t="s">
        <v>4</v>
      </c>
      <c r="D29" s="54"/>
    </row>
    <row r="30" spans="1:4" x14ac:dyDescent="0.25">
      <c r="A30" s="41"/>
      <c r="B30" s="2" t="s">
        <v>9</v>
      </c>
      <c r="C30" s="43" t="s">
        <v>10</v>
      </c>
      <c r="D30" s="44"/>
    </row>
    <row r="31" spans="1:4" x14ac:dyDescent="0.25">
      <c r="A31" s="41"/>
      <c r="B31" s="2"/>
      <c r="C31" s="3" t="s">
        <v>11</v>
      </c>
      <c r="D31" s="3" t="s">
        <v>12</v>
      </c>
    </row>
    <row r="32" spans="1:4" x14ac:dyDescent="0.25">
      <c r="A32" s="41"/>
      <c r="B32" s="2"/>
      <c r="C32" s="4" t="s">
        <v>20</v>
      </c>
      <c r="D32" s="4" t="s">
        <v>20</v>
      </c>
    </row>
    <row r="33" spans="1:4" x14ac:dyDescent="0.25">
      <c r="A33" s="41"/>
      <c r="B33" s="2" t="s">
        <v>14</v>
      </c>
      <c r="C33" s="43" t="s">
        <v>15</v>
      </c>
      <c r="D33" s="44"/>
    </row>
    <row r="34" spans="1:4" x14ac:dyDescent="0.25">
      <c r="A34" s="42"/>
      <c r="B34" s="5" t="s">
        <v>33</v>
      </c>
      <c r="C34" s="6" t="str">
        <f>API!$A$1 &amp; "/devices/gpio/[DEV_ID]/[MASK]"&amp; API!$A$2</f>
        <v>http://localhost:8001/devices/gpio/[DEV_ID]/[MASK]</v>
      </c>
      <c r="D34" s="6" t="s">
        <v>40</v>
      </c>
    </row>
    <row r="35" spans="1:4" x14ac:dyDescent="0.25">
      <c r="A35" s="42"/>
      <c r="B35" s="71" t="s">
        <v>41</v>
      </c>
      <c r="C35" s="72"/>
      <c r="D35" s="73"/>
    </row>
    <row r="36" spans="1:4" x14ac:dyDescent="0.25">
      <c r="A36" s="42"/>
      <c r="B36" s="45" t="s">
        <v>2</v>
      </c>
      <c r="C36" s="46"/>
      <c r="D36" s="47"/>
    </row>
    <row r="37" spans="1:4" x14ac:dyDescent="0.25">
      <c r="A37" s="42"/>
      <c r="B37" s="5" t="s">
        <v>3</v>
      </c>
      <c r="C37" s="48" t="s">
        <v>4</v>
      </c>
      <c r="D37" s="49"/>
    </row>
    <row r="38" spans="1:4" x14ac:dyDescent="0.25">
      <c r="A38" s="42"/>
      <c r="B38" s="6" t="s">
        <v>5</v>
      </c>
      <c r="C38" s="39" t="s">
        <v>6</v>
      </c>
      <c r="D38" s="40"/>
    </row>
    <row r="39" spans="1:4" x14ac:dyDescent="0.25">
      <c r="A39" s="42"/>
      <c r="B39" s="6" t="s">
        <v>42</v>
      </c>
      <c r="C39" s="66" t="s">
        <v>43</v>
      </c>
      <c r="D39" s="67"/>
    </row>
    <row r="40" spans="1:4" x14ac:dyDescent="0.25">
      <c r="A40" s="42"/>
      <c r="B40" s="45" t="s">
        <v>7</v>
      </c>
      <c r="C40" s="46"/>
      <c r="D40" s="47"/>
    </row>
    <row r="41" spans="1:4" x14ac:dyDescent="0.25">
      <c r="A41" s="42"/>
      <c r="B41" s="5" t="s">
        <v>8</v>
      </c>
      <c r="C41" s="48" t="s">
        <v>4</v>
      </c>
      <c r="D41" s="49"/>
    </row>
    <row r="42" spans="1:4" x14ac:dyDescent="0.25">
      <c r="A42" s="42"/>
      <c r="B42" s="6" t="s">
        <v>9</v>
      </c>
      <c r="C42" s="39" t="s">
        <v>10</v>
      </c>
      <c r="D42" s="40"/>
    </row>
    <row r="43" spans="1:4" x14ac:dyDescent="0.25">
      <c r="A43" s="42"/>
      <c r="B43" s="6"/>
      <c r="C43" s="5" t="s">
        <v>11</v>
      </c>
      <c r="D43" s="5" t="s">
        <v>12</v>
      </c>
    </row>
    <row r="44" spans="1:4" x14ac:dyDescent="0.25">
      <c r="A44" s="42"/>
      <c r="B44" s="6"/>
      <c r="C44" s="7" t="s">
        <v>20</v>
      </c>
      <c r="D44" s="7" t="s">
        <v>20</v>
      </c>
    </row>
    <row r="45" spans="1:4" x14ac:dyDescent="0.25">
      <c r="A45" s="42"/>
      <c r="B45" s="6" t="s">
        <v>14</v>
      </c>
      <c r="C45" s="39" t="s">
        <v>15</v>
      </c>
      <c r="D45" s="40"/>
    </row>
    <row r="46" spans="1:4" x14ac:dyDescent="0.25">
      <c r="A46" s="41"/>
      <c r="B46" s="3" t="s">
        <v>33</v>
      </c>
      <c r="C46" s="2" t="str">
        <f>API!$A$1 &amp; "/devices/rt/[DEV_ID]"&amp; API!$A$2</f>
        <v>http://localhost:8001/devices/rt/[DEV_ID]</v>
      </c>
      <c r="D46" s="2" t="s">
        <v>44</v>
      </c>
    </row>
    <row r="47" spans="1:4" x14ac:dyDescent="0.25">
      <c r="A47" s="41"/>
      <c r="B47" s="68" t="s">
        <v>45</v>
      </c>
      <c r="C47" s="69"/>
      <c r="D47" s="70"/>
    </row>
    <row r="48" spans="1:4" x14ac:dyDescent="0.25">
      <c r="A48" s="41"/>
      <c r="B48" s="50" t="s">
        <v>2</v>
      </c>
      <c r="C48" s="51"/>
      <c r="D48" s="52"/>
    </row>
    <row r="49" spans="1:4" x14ac:dyDescent="0.25">
      <c r="A49" s="41"/>
      <c r="B49" s="3" t="s">
        <v>3</v>
      </c>
      <c r="C49" s="53" t="s">
        <v>4</v>
      </c>
      <c r="D49" s="54"/>
    </row>
    <row r="50" spans="1:4" x14ac:dyDescent="0.25">
      <c r="A50" s="41"/>
      <c r="B50" s="2" t="s">
        <v>5</v>
      </c>
      <c r="C50" s="43" t="s">
        <v>6</v>
      </c>
      <c r="D50" s="44"/>
    </row>
    <row r="51" spans="1:4" x14ac:dyDescent="0.25">
      <c r="A51" s="41"/>
      <c r="B51" s="50" t="s">
        <v>7</v>
      </c>
      <c r="C51" s="51"/>
      <c r="D51" s="52"/>
    </row>
    <row r="52" spans="1:4" x14ac:dyDescent="0.25">
      <c r="A52" s="41"/>
      <c r="B52" s="3" t="s">
        <v>8</v>
      </c>
      <c r="C52" s="53" t="s">
        <v>4</v>
      </c>
      <c r="D52" s="54"/>
    </row>
    <row r="53" spans="1:4" x14ac:dyDescent="0.25">
      <c r="A53" s="41"/>
      <c r="B53" s="2" t="s">
        <v>9</v>
      </c>
      <c r="C53" s="43" t="s">
        <v>10</v>
      </c>
      <c r="D53" s="44"/>
    </row>
    <row r="54" spans="1:4" x14ac:dyDescent="0.25">
      <c r="A54" s="41"/>
      <c r="B54" s="2"/>
      <c r="C54" s="3" t="s">
        <v>11</v>
      </c>
      <c r="D54" s="3" t="s">
        <v>12</v>
      </c>
    </row>
    <row r="55" spans="1:4" x14ac:dyDescent="0.25">
      <c r="A55" s="41"/>
      <c r="B55" s="2"/>
      <c r="C55" s="4" t="s">
        <v>20</v>
      </c>
      <c r="D55" s="4" t="s">
        <v>20</v>
      </c>
    </row>
    <row r="56" spans="1:4" x14ac:dyDescent="0.25">
      <c r="A56" s="41"/>
      <c r="B56" s="2" t="s">
        <v>14</v>
      </c>
      <c r="C56" s="43" t="s">
        <v>15</v>
      </c>
      <c r="D56" s="44"/>
    </row>
  </sheetData>
  <mergeCells count="46">
    <mergeCell ref="A1:A11"/>
    <mergeCell ref="B24:D24"/>
    <mergeCell ref="C8:D8"/>
    <mergeCell ref="C11:D11"/>
    <mergeCell ref="B2:D2"/>
    <mergeCell ref="B13:D13"/>
    <mergeCell ref="B14:D14"/>
    <mergeCell ref="C15:D15"/>
    <mergeCell ref="B3:D3"/>
    <mergeCell ref="C4:D4"/>
    <mergeCell ref="C5:D5"/>
    <mergeCell ref="B6:D6"/>
    <mergeCell ref="C7:D7"/>
    <mergeCell ref="C16:D16"/>
    <mergeCell ref="B17:D17"/>
    <mergeCell ref="C18:D18"/>
    <mergeCell ref="C19:D19"/>
    <mergeCell ref="C22:D22"/>
    <mergeCell ref="B40:D40"/>
    <mergeCell ref="B25:D25"/>
    <mergeCell ref="C26:D26"/>
    <mergeCell ref="C27:D27"/>
    <mergeCell ref="B28:D28"/>
    <mergeCell ref="C29:D29"/>
    <mergeCell ref="C30:D30"/>
    <mergeCell ref="C33:D33"/>
    <mergeCell ref="B35:D35"/>
    <mergeCell ref="B36:D36"/>
    <mergeCell ref="C37:D37"/>
    <mergeCell ref="C38:D38"/>
    <mergeCell ref="A12:A22"/>
    <mergeCell ref="A23:A33"/>
    <mergeCell ref="A34:A45"/>
    <mergeCell ref="A46:A56"/>
    <mergeCell ref="C49:D49"/>
    <mergeCell ref="C50:D50"/>
    <mergeCell ref="B51:D51"/>
    <mergeCell ref="C52:D52"/>
    <mergeCell ref="C53:D53"/>
    <mergeCell ref="C56:D56"/>
    <mergeCell ref="C41:D41"/>
    <mergeCell ref="C42:D42"/>
    <mergeCell ref="C45:D45"/>
    <mergeCell ref="C39:D39"/>
    <mergeCell ref="B47:D47"/>
    <mergeCell ref="B48:D48"/>
  </mergeCells>
  <phoneticPr fontId="9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2"/>
  <sheetViews>
    <sheetView tabSelected="1" workbookViewId="0">
      <selection activeCell="D9" sqref="D9"/>
    </sheetView>
  </sheetViews>
  <sheetFormatPr defaultRowHeight="15.75" x14ac:dyDescent="0.25"/>
  <cols>
    <col min="2" max="2" width="8.7109375" bestFit="1" customWidth="1"/>
    <col min="3" max="3" width="53.7109375" bestFit="1" customWidth="1"/>
    <col min="4" max="4" width="108" customWidth="1"/>
  </cols>
  <sheetData>
    <row r="1" spans="1:4" x14ac:dyDescent="0.25">
      <c r="A1" s="74">
        <v>6</v>
      </c>
      <c r="B1" s="3" t="s">
        <v>46</v>
      </c>
      <c r="C1" s="2" t="str">
        <f>API!$A$1 &amp; "/api/users/register"&amp; API!$A$2</f>
        <v>http://localhost:8001/api/users/register</v>
      </c>
      <c r="D1" s="2" t="s">
        <v>132</v>
      </c>
    </row>
    <row r="2" spans="1:4" x14ac:dyDescent="0.25">
      <c r="A2" s="74"/>
      <c r="B2" s="50" t="s">
        <v>2</v>
      </c>
      <c r="C2" s="51"/>
      <c r="D2" s="52"/>
    </row>
    <row r="3" spans="1:4" x14ac:dyDescent="0.25">
      <c r="A3" s="74"/>
      <c r="B3" s="3" t="s">
        <v>3</v>
      </c>
      <c r="C3" s="53" t="s">
        <v>4</v>
      </c>
      <c r="D3" s="54"/>
    </row>
    <row r="4" spans="1:4" x14ac:dyDescent="0.25">
      <c r="A4" s="74"/>
      <c r="B4" s="2"/>
      <c r="C4" s="43"/>
      <c r="D4" s="44"/>
    </row>
    <row r="5" spans="1:4" x14ac:dyDescent="0.25">
      <c r="A5" s="74"/>
      <c r="B5" s="50" t="s">
        <v>7</v>
      </c>
      <c r="C5" s="51"/>
      <c r="D5" s="52"/>
    </row>
    <row r="6" spans="1:4" x14ac:dyDescent="0.25">
      <c r="A6" s="74"/>
      <c r="B6" s="3" t="s">
        <v>8</v>
      </c>
      <c r="C6" s="53" t="s">
        <v>4</v>
      </c>
      <c r="D6" s="54"/>
    </row>
    <row r="7" spans="1:4" x14ac:dyDescent="0.25">
      <c r="A7" s="74"/>
      <c r="B7" s="2">
        <v>201</v>
      </c>
      <c r="C7" s="43" t="s">
        <v>134</v>
      </c>
      <c r="D7" s="44"/>
    </row>
    <row r="8" spans="1:4" x14ac:dyDescent="0.25">
      <c r="A8" s="74"/>
      <c r="B8" s="2"/>
      <c r="C8" s="3" t="s">
        <v>11</v>
      </c>
      <c r="D8" s="3" t="s">
        <v>12</v>
      </c>
    </row>
    <row r="9" spans="1:4" ht="189" x14ac:dyDescent="0.25">
      <c r="A9" s="74"/>
      <c r="B9" s="2"/>
      <c r="C9" s="4" t="s">
        <v>133</v>
      </c>
      <c r="D9" s="4" t="s">
        <v>20</v>
      </c>
    </row>
    <row r="10" spans="1:4" x14ac:dyDescent="0.25">
      <c r="A10" s="74"/>
      <c r="B10" s="2">
        <v>400</v>
      </c>
      <c r="C10" t="s">
        <v>135</v>
      </c>
      <c r="D10" s="106"/>
    </row>
    <row r="11" spans="1:4" x14ac:dyDescent="0.25">
      <c r="A11" s="74"/>
      <c r="B11" s="2">
        <v>422</v>
      </c>
      <c r="C11" t="s">
        <v>136</v>
      </c>
      <c r="D11" s="106"/>
    </row>
    <row r="12" spans="1:4" x14ac:dyDescent="0.25">
      <c r="A12" s="74"/>
      <c r="B12" s="2">
        <v>500</v>
      </c>
      <c r="C12" t="s">
        <v>137</v>
      </c>
      <c r="D12" s="106"/>
    </row>
    <row r="13" spans="1:4" x14ac:dyDescent="0.25">
      <c r="A13" s="42"/>
      <c r="B13" s="5" t="s">
        <v>46</v>
      </c>
      <c r="C13" s="6" t="str">
        <f>API!$A$1 &amp; "/asset/[ASSET_ID]"&amp; API!$A$2</f>
        <v>http://localhost:8001/asset/[ASSET_ID]</v>
      </c>
      <c r="D13" s="6" t="s">
        <v>47</v>
      </c>
    </row>
    <row r="14" spans="1:4" x14ac:dyDescent="0.25">
      <c r="A14" s="42"/>
      <c r="B14" s="45" t="s">
        <v>2</v>
      </c>
      <c r="C14" s="46"/>
      <c r="D14" s="47"/>
    </row>
    <row r="15" spans="1:4" x14ac:dyDescent="0.25">
      <c r="A15" s="42"/>
      <c r="B15" s="5" t="s">
        <v>3</v>
      </c>
      <c r="C15" s="48" t="s">
        <v>4</v>
      </c>
      <c r="D15" s="49"/>
    </row>
    <row r="16" spans="1:4" x14ac:dyDescent="0.25">
      <c r="A16" s="42"/>
      <c r="B16" s="6" t="s">
        <v>17</v>
      </c>
      <c r="C16" s="39" t="s">
        <v>18</v>
      </c>
      <c r="D16" s="40"/>
    </row>
    <row r="17" spans="1:4" x14ac:dyDescent="0.25">
      <c r="A17" s="42"/>
      <c r="B17" s="45" t="s">
        <v>7</v>
      </c>
      <c r="C17" s="46"/>
      <c r="D17" s="47"/>
    </row>
    <row r="18" spans="1:4" x14ac:dyDescent="0.25">
      <c r="A18" s="42"/>
      <c r="B18" s="5" t="s">
        <v>8</v>
      </c>
      <c r="C18" s="48" t="s">
        <v>4</v>
      </c>
      <c r="D18" s="49"/>
    </row>
    <row r="19" spans="1:4" x14ac:dyDescent="0.25">
      <c r="A19" s="42"/>
      <c r="B19" s="6" t="s">
        <v>9</v>
      </c>
      <c r="C19" s="39" t="s">
        <v>10</v>
      </c>
      <c r="D19" s="40"/>
    </row>
    <row r="20" spans="1:4" x14ac:dyDescent="0.25">
      <c r="A20" s="42"/>
      <c r="B20" s="6"/>
      <c r="C20" s="5" t="s">
        <v>11</v>
      </c>
      <c r="D20" s="5" t="s">
        <v>12</v>
      </c>
    </row>
    <row r="21" spans="1:4" x14ac:dyDescent="0.25">
      <c r="A21" s="42"/>
      <c r="B21" s="6"/>
      <c r="C21" s="7" t="s">
        <v>20</v>
      </c>
      <c r="D21" s="7" t="s">
        <v>20</v>
      </c>
    </row>
    <row r="22" spans="1:4" x14ac:dyDescent="0.25">
      <c r="A22" s="42"/>
      <c r="B22" s="6" t="s">
        <v>14</v>
      </c>
      <c r="C22" s="39" t="s">
        <v>15</v>
      </c>
      <c r="D22" s="40"/>
    </row>
  </sheetData>
  <mergeCells count="15">
    <mergeCell ref="C18:D18"/>
    <mergeCell ref="C19:D19"/>
    <mergeCell ref="C22:D22"/>
    <mergeCell ref="A1:A12"/>
    <mergeCell ref="A13:A22"/>
    <mergeCell ref="C7:D7"/>
    <mergeCell ref="B14:D14"/>
    <mergeCell ref="C15:D15"/>
    <mergeCell ref="C16:D16"/>
    <mergeCell ref="B17:D17"/>
    <mergeCell ref="B2:D2"/>
    <mergeCell ref="C3:D3"/>
    <mergeCell ref="C4:D4"/>
    <mergeCell ref="B5:D5"/>
    <mergeCell ref="C6:D6"/>
  </mergeCells>
  <phoneticPr fontId="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99"/>
  <sheetViews>
    <sheetView workbookViewId="0">
      <selection activeCell="C9" sqref="C9"/>
    </sheetView>
  </sheetViews>
  <sheetFormatPr defaultRowHeight="15.75" x14ac:dyDescent="0.25"/>
  <cols>
    <col min="2" max="2" width="15.7109375" bestFit="1" customWidth="1"/>
    <col min="3" max="3" width="97" bestFit="1" customWidth="1"/>
    <col min="4" max="4" width="70" bestFit="1" customWidth="1"/>
  </cols>
  <sheetData>
    <row r="1" spans="1:4" x14ac:dyDescent="0.25">
      <c r="A1" s="74">
        <v>5</v>
      </c>
      <c r="B1" s="3" t="s">
        <v>19</v>
      </c>
      <c r="C1" s="2" t="str">
        <f>API!$A$1 &amp; "/api/monitor/fallback-metrics"&amp; API!$A$2</f>
        <v>http://localhost:8001/api/monitor/fallback-metrics</v>
      </c>
      <c r="D1" s="2" t="s">
        <v>128</v>
      </c>
    </row>
    <row r="2" spans="1:4" x14ac:dyDescent="0.25">
      <c r="A2" s="74"/>
      <c r="B2" s="50" t="s">
        <v>2</v>
      </c>
      <c r="C2" s="51"/>
      <c r="D2" s="52"/>
    </row>
    <row r="3" spans="1:4" x14ac:dyDescent="0.25">
      <c r="A3" s="74"/>
      <c r="B3" s="3" t="s">
        <v>3</v>
      </c>
      <c r="C3" s="53" t="s">
        <v>4</v>
      </c>
      <c r="D3" s="54"/>
    </row>
    <row r="4" spans="1:4" x14ac:dyDescent="0.25">
      <c r="A4" s="74"/>
      <c r="B4" s="2"/>
      <c r="C4" s="43"/>
      <c r="D4" s="44"/>
    </row>
    <row r="5" spans="1:4" x14ac:dyDescent="0.25">
      <c r="A5" s="74"/>
      <c r="B5" s="50" t="s">
        <v>7</v>
      </c>
      <c r="C5" s="51"/>
      <c r="D5" s="52"/>
    </row>
    <row r="6" spans="1:4" x14ac:dyDescent="0.25">
      <c r="A6" s="74"/>
      <c r="B6" s="3" t="s">
        <v>8</v>
      </c>
      <c r="C6" s="53" t="s">
        <v>4</v>
      </c>
      <c r="D6" s="54"/>
    </row>
    <row r="7" spans="1:4" x14ac:dyDescent="0.25">
      <c r="A7" s="74"/>
      <c r="B7" s="2">
        <v>200</v>
      </c>
      <c r="C7" s="43" t="s">
        <v>129</v>
      </c>
      <c r="D7" s="44"/>
    </row>
    <row r="8" spans="1:4" x14ac:dyDescent="0.25">
      <c r="A8" s="74"/>
      <c r="B8" s="2"/>
      <c r="C8" s="3" t="s">
        <v>11</v>
      </c>
      <c r="D8" s="3" t="s">
        <v>12</v>
      </c>
    </row>
    <row r="9" spans="1:4" ht="123.75" customHeight="1" x14ac:dyDescent="0.25">
      <c r="A9" s="74"/>
      <c r="B9" s="2"/>
      <c r="C9" s="4" t="s">
        <v>130</v>
      </c>
      <c r="D9" s="4"/>
    </row>
    <row r="10" spans="1:4" x14ac:dyDescent="0.25">
      <c r="A10" s="74"/>
      <c r="B10" s="2">
        <v>500</v>
      </c>
      <c r="C10" s="43" t="s">
        <v>131</v>
      </c>
      <c r="D10" s="44"/>
    </row>
    <row r="11" spans="1:4" x14ac:dyDescent="0.25">
      <c r="A11" s="75"/>
      <c r="B11" s="5" t="s">
        <v>19</v>
      </c>
      <c r="C11" s="6" t="str">
        <f>API!$A$1 &amp; "/tracking/points/[GROUP_ID]/"&amp; API!$A$2</f>
        <v>http://localhost:8001/tracking/points/[GROUP_ID]/</v>
      </c>
      <c r="D11" s="6" t="s">
        <v>48</v>
      </c>
    </row>
    <row r="12" spans="1:4" x14ac:dyDescent="0.25">
      <c r="A12" s="75"/>
      <c r="B12" s="48" t="s">
        <v>2</v>
      </c>
      <c r="C12" s="76"/>
      <c r="D12" s="49"/>
    </row>
    <row r="13" spans="1:4" x14ac:dyDescent="0.25">
      <c r="A13" s="75"/>
      <c r="B13" s="5" t="s">
        <v>3</v>
      </c>
      <c r="C13" s="48" t="s">
        <v>4</v>
      </c>
      <c r="D13" s="49"/>
    </row>
    <row r="14" spans="1:4" x14ac:dyDescent="0.25">
      <c r="A14" s="75"/>
      <c r="B14" s="6" t="s">
        <v>23</v>
      </c>
      <c r="C14" s="39" t="s">
        <v>24</v>
      </c>
      <c r="D14" s="40"/>
    </row>
    <row r="15" spans="1:4" x14ac:dyDescent="0.25">
      <c r="A15" s="75"/>
      <c r="B15" s="48" t="s">
        <v>7</v>
      </c>
      <c r="C15" s="76"/>
      <c r="D15" s="49"/>
    </row>
    <row r="16" spans="1:4" x14ac:dyDescent="0.25">
      <c r="A16" s="75"/>
      <c r="B16" s="5" t="s">
        <v>8</v>
      </c>
      <c r="C16" s="48" t="s">
        <v>4</v>
      </c>
      <c r="D16" s="49"/>
    </row>
    <row r="17" spans="1:4" x14ac:dyDescent="0.25">
      <c r="A17" s="75"/>
      <c r="B17" s="6" t="s">
        <v>9</v>
      </c>
      <c r="C17" s="39" t="s">
        <v>10</v>
      </c>
      <c r="D17" s="40"/>
    </row>
    <row r="18" spans="1:4" x14ac:dyDescent="0.25">
      <c r="A18" s="75"/>
      <c r="B18" s="6"/>
      <c r="C18" s="5" t="s">
        <v>11</v>
      </c>
      <c r="D18" s="5" t="s">
        <v>12</v>
      </c>
    </row>
    <row r="19" spans="1:4" ht="141.75" x14ac:dyDescent="0.25">
      <c r="A19" s="75"/>
      <c r="B19" s="6"/>
      <c r="C19" s="7" t="s">
        <v>49</v>
      </c>
      <c r="D19" s="7" t="s">
        <v>50</v>
      </c>
    </row>
    <row r="20" spans="1:4" x14ac:dyDescent="0.25">
      <c r="A20" s="75"/>
      <c r="B20" s="6" t="s">
        <v>14</v>
      </c>
      <c r="C20" s="39" t="s">
        <v>15</v>
      </c>
      <c r="D20" s="40"/>
    </row>
    <row r="21" spans="1:4" x14ac:dyDescent="0.25">
      <c r="A21" s="74"/>
      <c r="B21" s="3" t="s">
        <v>19</v>
      </c>
      <c r="C21" s="2" t="str">
        <f>API!$A$1 &amp; "/historic/point/[GROUP_ID]/[DEV_ID]/[START_DATETIME]/[END_DATETIME]"&amp; API!$A$2</f>
        <v>http://localhost:8001/historic/point/[GROUP_ID]/[DEV_ID]/[START_DATETIME]/[END_DATETIME]</v>
      </c>
      <c r="D21" s="2" t="s">
        <v>51</v>
      </c>
    </row>
    <row r="22" spans="1:4" x14ac:dyDescent="0.25">
      <c r="A22" s="74"/>
      <c r="B22" s="53" t="s">
        <v>2</v>
      </c>
      <c r="C22" s="77"/>
      <c r="D22" s="54"/>
    </row>
    <row r="23" spans="1:4" x14ac:dyDescent="0.25">
      <c r="A23" s="74"/>
      <c r="B23" s="3" t="s">
        <v>3</v>
      </c>
      <c r="C23" s="53" t="s">
        <v>4</v>
      </c>
      <c r="D23" s="54"/>
    </row>
    <row r="24" spans="1:4" x14ac:dyDescent="0.25">
      <c r="A24" s="74"/>
      <c r="B24" s="2" t="s">
        <v>23</v>
      </c>
      <c r="C24" s="43" t="s">
        <v>24</v>
      </c>
      <c r="D24" s="44"/>
    </row>
    <row r="25" spans="1:4" x14ac:dyDescent="0.25">
      <c r="A25" s="74"/>
      <c r="B25" s="2" t="s">
        <v>5</v>
      </c>
      <c r="C25" s="43" t="s">
        <v>6</v>
      </c>
      <c r="D25" s="44"/>
    </row>
    <row r="26" spans="1:4" x14ac:dyDescent="0.25">
      <c r="A26" s="74"/>
      <c r="B26" s="2" t="s">
        <v>52</v>
      </c>
      <c r="C26" s="2" t="s">
        <v>53</v>
      </c>
      <c r="D26" s="2" t="s">
        <v>54</v>
      </c>
    </row>
    <row r="27" spans="1:4" x14ac:dyDescent="0.25">
      <c r="A27" s="74"/>
      <c r="B27" s="2" t="s">
        <v>55</v>
      </c>
      <c r="C27" s="2" t="s">
        <v>56</v>
      </c>
      <c r="D27" s="2" t="s">
        <v>54</v>
      </c>
    </row>
    <row r="28" spans="1:4" x14ac:dyDescent="0.25">
      <c r="A28" s="74"/>
      <c r="B28" s="53" t="s">
        <v>7</v>
      </c>
      <c r="C28" s="77"/>
      <c r="D28" s="54"/>
    </row>
    <row r="29" spans="1:4" x14ac:dyDescent="0.25">
      <c r="A29" s="74"/>
      <c r="B29" s="3" t="s">
        <v>8</v>
      </c>
      <c r="C29" s="53" t="s">
        <v>4</v>
      </c>
      <c r="D29" s="54"/>
    </row>
    <row r="30" spans="1:4" x14ac:dyDescent="0.25">
      <c r="A30" s="74"/>
      <c r="B30" s="2" t="s">
        <v>9</v>
      </c>
      <c r="C30" s="43" t="s">
        <v>10</v>
      </c>
      <c r="D30" s="44"/>
    </row>
    <row r="31" spans="1:4" x14ac:dyDescent="0.25">
      <c r="A31" s="74"/>
      <c r="B31" s="2"/>
      <c r="C31" s="3" t="s">
        <v>11</v>
      </c>
      <c r="D31" s="3" t="s">
        <v>12</v>
      </c>
    </row>
    <row r="32" spans="1:4" ht="141.75" x14ac:dyDescent="0.25">
      <c r="A32" s="74"/>
      <c r="B32" s="2"/>
      <c r="C32" s="4" t="s">
        <v>57</v>
      </c>
      <c r="D32" s="4" t="s">
        <v>58</v>
      </c>
    </row>
    <row r="33" spans="1:4" x14ac:dyDescent="0.25">
      <c r="A33" s="74"/>
      <c r="B33" s="2" t="s">
        <v>14</v>
      </c>
      <c r="C33" s="43" t="s">
        <v>15</v>
      </c>
      <c r="D33" s="44"/>
    </row>
    <row r="34" spans="1:4" x14ac:dyDescent="0.25">
      <c r="A34" s="75"/>
      <c r="B34" s="5" t="s">
        <v>19</v>
      </c>
      <c r="C34" s="6" t="str">
        <f>API!$A$1 &amp; "/historic/points/[GROUP_ID]/[START_DATETIME]/[END_DATETIME]"&amp; API!$A$2</f>
        <v>http://localhost:8001/historic/points/[GROUP_ID]/[START_DATETIME]/[END_DATETIME]</v>
      </c>
      <c r="D34" s="6" t="s">
        <v>59</v>
      </c>
    </row>
    <row r="35" spans="1:4" x14ac:dyDescent="0.25">
      <c r="A35" s="75"/>
      <c r="B35" s="48" t="s">
        <v>2</v>
      </c>
      <c r="C35" s="76"/>
      <c r="D35" s="49"/>
    </row>
    <row r="36" spans="1:4" x14ac:dyDescent="0.25">
      <c r="A36" s="75"/>
      <c r="B36" s="5" t="s">
        <v>3</v>
      </c>
      <c r="C36" s="48" t="s">
        <v>4</v>
      </c>
      <c r="D36" s="49"/>
    </row>
    <row r="37" spans="1:4" x14ac:dyDescent="0.25">
      <c r="A37" s="75"/>
      <c r="B37" s="6" t="s">
        <v>23</v>
      </c>
      <c r="C37" s="39" t="s">
        <v>24</v>
      </c>
      <c r="D37" s="40"/>
    </row>
    <row r="38" spans="1:4" x14ac:dyDescent="0.25">
      <c r="A38" s="75"/>
      <c r="B38" s="6" t="s">
        <v>52</v>
      </c>
      <c r="C38" s="6" t="s">
        <v>53</v>
      </c>
      <c r="D38" s="6" t="s">
        <v>54</v>
      </c>
    </row>
    <row r="39" spans="1:4" x14ac:dyDescent="0.25">
      <c r="A39" s="75"/>
      <c r="B39" s="6" t="s">
        <v>55</v>
      </c>
      <c r="C39" s="6" t="s">
        <v>56</v>
      </c>
      <c r="D39" s="6" t="s">
        <v>54</v>
      </c>
    </row>
    <row r="40" spans="1:4" x14ac:dyDescent="0.25">
      <c r="A40" s="75"/>
      <c r="B40" s="48" t="s">
        <v>7</v>
      </c>
      <c r="C40" s="76"/>
      <c r="D40" s="49"/>
    </row>
    <row r="41" spans="1:4" x14ac:dyDescent="0.25">
      <c r="A41" s="75"/>
      <c r="B41" s="5" t="s">
        <v>8</v>
      </c>
      <c r="C41" s="48" t="s">
        <v>4</v>
      </c>
      <c r="D41" s="49"/>
    </row>
    <row r="42" spans="1:4" x14ac:dyDescent="0.25">
      <c r="A42" s="75"/>
      <c r="B42" s="6" t="s">
        <v>9</v>
      </c>
      <c r="C42" s="39" t="s">
        <v>10</v>
      </c>
      <c r="D42" s="40"/>
    </row>
    <row r="43" spans="1:4" x14ac:dyDescent="0.25">
      <c r="A43" s="75"/>
      <c r="B43" s="6"/>
      <c r="C43" s="5" t="s">
        <v>11</v>
      </c>
      <c r="D43" s="5" t="s">
        <v>12</v>
      </c>
    </row>
    <row r="44" spans="1:4" ht="141.75" x14ac:dyDescent="0.25">
      <c r="A44" s="75"/>
      <c r="B44" s="6"/>
      <c r="C44" s="7" t="s">
        <v>60</v>
      </c>
      <c r="D44" s="7" t="s">
        <v>58</v>
      </c>
    </row>
    <row r="45" spans="1:4" x14ac:dyDescent="0.25">
      <c r="A45" s="75"/>
      <c r="B45" s="6" t="s">
        <v>14</v>
      </c>
      <c r="C45" s="39" t="s">
        <v>15</v>
      </c>
      <c r="D45" s="40"/>
    </row>
    <row r="46" spans="1:4" x14ac:dyDescent="0.25">
      <c r="A46" s="74"/>
      <c r="B46" s="3" t="s">
        <v>19</v>
      </c>
      <c r="C46" s="2" t="str">
        <f>API!$A$1 &amp; "/assets/anchors/[GROUP_ID]"&amp; API!$A$2</f>
        <v>http://localhost:8001/assets/anchors/[GROUP_ID]</v>
      </c>
      <c r="D46" s="2" t="s">
        <v>61</v>
      </c>
    </row>
    <row r="47" spans="1:4" x14ac:dyDescent="0.25">
      <c r="A47" s="74"/>
      <c r="B47" s="53" t="s">
        <v>2</v>
      </c>
      <c r="C47" s="77"/>
      <c r="D47" s="54"/>
    </row>
    <row r="48" spans="1:4" x14ac:dyDescent="0.25">
      <c r="A48" s="74"/>
      <c r="B48" s="3" t="s">
        <v>3</v>
      </c>
      <c r="C48" s="53" t="s">
        <v>4</v>
      </c>
      <c r="D48" s="54"/>
    </row>
    <row r="49" spans="1:4" x14ac:dyDescent="0.25">
      <c r="A49" s="74"/>
      <c r="B49" s="2" t="s">
        <v>23</v>
      </c>
      <c r="C49" s="43" t="s">
        <v>24</v>
      </c>
      <c r="D49" s="44"/>
    </row>
    <row r="50" spans="1:4" x14ac:dyDescent="0.25">
      <c r="A50" s="74"/>
      <c r="B50" s="2" t="s">
        <v>5</v>
      </c>
      <c r="C50" s="43" t="s">
        <v>6</v>
      </c>
      <c r="D50" s="44"/>
    </row>
    <row r="51" spans="1:4" x14ac:dyDescent="0.25">
      <c r="A51" s="74"/>
      <c r="B51" s="2" t="s">
        <v>52</v>
      </c>
      <c r="C51" s="2" t="s">
        <v>53</v>
      </c>
      <c r="D51" s="2" t="s">
        <v>54</v>
      </c>
    </row>
    <row r="52" spans="1:4" x14ac:dyDescent="0.25">
      <c r="A52" s="74"/>
      <c r="B52" s="2" t="s">
        <v>55</v>
      </c>
      <c r="C52" s="2" t="s">
        <v>56</v>
      </c>
      <c r="D52" s="2" t="s">
        <v>54</v>
      </c>
    </row>
    <row r="53" spans="1:4" x14ac:dyDescent="0.25">
      <c r="A53" s="74"/>
      <c r="B53" s="53" t="s">
        <v>7</v>
      </c>
      <c r="C53" s="77"/>
      <c r="D53" s="54"/>
    </row>
    <row r="54" spans="1:4" x14ac:dyDescent="0.25">
      <c r="A54" s="74"/>
      <c r="B54" s="3" t="s">
        <v>8</v>
      </c>
      <c r="C54" s="53" t="s">
        <v>4</v>
      </c>
      <c r="D54" s="54"/>
    </row>
    <row r="55" spans="1:4" x14ac:dyDescent="0.25">
      <c r="A55" s="74"/>
      <c r="B55" s="2" t="s">
        <v>9</v>
      </c>
      <c r="C55" s="43" t="s">
        <v>10</v>
      </c>
      <c r="D55" s="44"/>
    </row>
    <row r="56" spans="1:4" x14ac:dyDescent="0.25">
      <c r="A56" s="74"/>
      <c r="B56" s="2"/>
      <c r="C56" s="3" t="s">
        <v>11</v>
      </c>
      <c r="D56" s="3" t="s">
        <v>12</v>
      </c>
    </row>
    <row r="57" spans="1:4" ht="94.5" x14ac:dyDescent="0.25">
      <c r="A57" s="74"/>
      <c r="B57" s="2"/>
      <c r="C57" s="4" t="s">
        <v>62</v>
      </c>
      <c r="D57" s="4" t="s">
        <v>63</v>
      </c>
    </row>
    <row r="58" spans="1:4" x14ac:dyDescent="0.25">
      <c r="A58" s="74"/>
      <c r="B58" s="2" t="s">
        <v>14</v>
      </c>
      <c r="C58" s="43" t="s">
        <v>15</v>
      </c>
      <c r="D58" s="44"/>
    </row>
    <row r="59" spans="1:4" x14ac:dyDescent="0.25">
      <c r="A59" s="75"/>
      <c r="B59" s="5" t="s">
        <v>19</v>
      </c>
      <c r="C59" s="6" t="str">
        <f>API!$A$1 &amp; "/groups"&amp; API!$A$2</f>
        <v>http://localhost:8001/groups</v>
      </c>
      <c r="D59" s="6" t="s">
        <v>64</v>
      </c>
    </row>
    <row r="60" spans="1:4" x14ac:dyDescent="0.25">
      <c r="A60" s="75"/>
      <c r="B60" s="48" t="s">
        <v>2</v>
      </c>
      <c r="C60" s="76"/>
      <c r="D60" s="49"/>
    </row>
    <row r="61" spans="1:4" x14ac:dyDescent="0.25">
      <c r="A61" s="75"/>
      <c r="B61" s="5" t="s">
        <v>3</v>
      </c>
      <c r="C61" s="48" t="s">
        <v>4</v>
      </c>
      <c r="D61" s="49"/>
    </row>
    <row r="62" spans="1:4" x14ac:dyDescent="0.25">
      <c r="A62" s="75"/>
      <c r="B62" s="48" t="s">
        <v>7</v>
      </c>
      <c r="C62" s="76"/>
      <c r="D62" s="49"/>
    </row>
    <row r="63" spans="1:4" x14ac:dyDescent="0.25">
      <c r="A63" s="75"/>
      <c r="B63" s="5" t="s">
        <v>8</v>
      </c>
      <c r="C63" s="48" t="s">
        <v>4</v>
      </c>
      <c r="D63" s="49"/>
    </row>
    <row r="64" spans="1:4" x14ac:dyDescent="0.25">
      <c r="A64" s="75"/>
      <c r="B64" s="6" t="s">
        <v>9</v>
      </c>
      <c r="C64" s="39" t="s">
        <v>10</v>
      </c>
      <c r="D64" s="40"/>
    </row>
    <row r="65" spans="1:4" x14ac:dyDescent="0.25">
      <c r="A65" s="75"/>
      <c r="B65" s="6"/>
      <c r="C65" s="5" t="s">
        <v>11</v>
      </c>
      <c r="D65" s="5" t="s">
        <v>12</v>
      </c>
    </row>
    <row r="66" spans="1:4" ht="78.75" x14ac:dyDescent="0.25">
      <c r="A66" s="75"/>
      <c r="B66" s="6"/>
      <c r="C66" s="7" t="s">
        <v>65</v>
      </c>
      <c r="D66" s="7" t="s">
        <v>66</v>
      </c>
    </row>
    <row r="67" spans="1:4" x14ac:dyDescent="0.25">
      <c r="A67" s="75"/>
      <c r="B67" s="6" t="s">
        <v>14</v>
      </c>
      <c r="C67" s="39" t="s">
        <v>15</v>
      </c>
      <c r="D67" s="40"/>
    </row>
    <row r="68" spans="1:4" x14ac:dyDescent="0.25">
      <c r="A68" s="74"/>
      <c r="B68" s="3" t="s">
        <v>19</v>
      </c>
      <c r="C68" s="2" t="str">
        <f>API!$A$1 &amp; "/groups/[APP_ID]"&amp; API!$A$2</f>
        <v>http://localhost:8001/groups/[APP_ID]</v>
      </c>
      <c r="D68" s="2" t="s">
        <v>67</v>
      </c>
    </row>
    <row r="69" spans="1:4" x14ac:dyDescent="0.25">
      <c r="A69" s="74"/>
      <c r="B69" s="53" t="s">
        <v>2</v>
      </c>
      <c r="C69" s="77"/>
      <c r="D69" s="54"/>
    </row>
    <row r="70" spans="1:4" x14ac:dyDescent="0.25">
      <c r="A70" s="74"/>
      <c r="B70" s="3" t="s">
        <v>3</v>
      </c>
      <c r="C70" s="53" t="s">
        <v>4</v>
      </c>
      <c r="D70" s="54"/>
    </row>
    <row r="71" spans="1:4" x14ac:dyDescent="0.25">
      <c r="A71" s="74"/>
      <c r="B71" s="2" t="s">
        <v>68</v>
      </c>
      <c r="C71" s="17" t="s">
        <v>69</v>
      </c>
      <c r="D71" s="2" t="s">
        <v>70</v>
      </c>
    </row>
    <row r="72" spans="1:4" x14ac:dyDescent="0.25">
      <c r="A72" s="74"/>
      <c r="B72" s="53" t="s">
        <v>7</v>
      </c>
      <c r="C72" s="77"/>
      <c r="D72" s="54"/>
    </row>
    <row r="73" spans="1:4" x14ac:dyDescent="0.25">
      <c r="A73" s="74"/>
      <c r="B73" s="3" t="s">
        <v>8</v>
      </c>
      <c r="C73" s="53" t="s">
        <v>4</v>
      </c>
      <c r="D73" s="54"/>
    </row>
    <row r="74" spans="1:4" x14ac:dyDescent="0.25">
      <c r="A74" s="74"/>
      <c r="B74" s="2" t="s">
        <v>9</v>
      </c>
      <c r="C74" s="43" t="s">
        <v>10</v>
      </c>
      <c r="D74" s="44"/>
    </row>
    <row r="75" spans="1:4" x14ac:dyDescent="0.25">
      <c r="A75" s="74"/>
      <c r="B75" s="2"/>
      <c r="C75" s="3" t="s">
        <v>11</v>
      </c>
      <c r="D75" s="3" t="s">
        <v>12</v>
      </c>
    </row>
    <row r="76" spans="1:4" ht="78.75" x14ac:dyDescent="0.25">
      <c r="A76" s="74"/>
      <c r="B76" s="2"/>
      <c r="C76" s="4" t="s">
        <v>65</v>
      </c>
      <c r="D76" s="4" t="s">
        <v>66</v>
      </c>
    </row>
    <row r="77" spans="1:4" x14ac:dyDescent="0.25">
      <c r="A77" s="74"/>
      <c r="B77" s="2" t="s">
        <v>14</v>
      </c>
      <c r="C77" s="43" t="s">
        <v>15</v>
      </c>
      <c r="D77" s="44"/>
    </row>
    <row r="78" spans="1:4" x14ac:dyDescent="0.25">
      <c r="A78" s="75"/>
      <c r="B78" s="5" t="s">
        <v>19</v>
      </c>
      <c r="C78" s="6" t="str">
        <f>API!$A$1 &amp; "/config/[APP_ID]"&amp; API!$A$2</f>
        <v>http://localhost:8001/config/[APP_ID]</v>
      </c>
      <c r="D78" s="6" t="s">
        <v>71</v>
      </c>
    </row>
    <row r="79" spans="1:4" x14ac:dyDescent="0.25">
      <c r="A79" s="75"/>
      <c r="B79" s="13"/>
      <c r="C79" s="11" t="s">
        <v>72</v>
      </c>
      <c r="D79" s="14"/>
    </row>
    <row r="80" spans="1:4" x14ac:dyDescent="0.25">
      <c r="A80" s="75"/>
      <c r="B80" s="48" t="s">
        <v>2</v>
      </c>
      <c r="C80" s="76"/>
      <c r="D80" s="49"/>
    </row>
    <row r="81" spans="1:4" x14ac:dyDescent="0.25">
      <c r="A81" s="75"/>
      <c r="B81" s="5" t="s">
        <v>3</v>
      </c>
      <c r="C81" s="48" t="s">
        <v>4</v>
      </c>
      <c r="D81" s="49"/>
    </row>
    <row r="82" spans="1:4" x14ac:dyDescent="0.25">
      <c r="A82" s="75"/>
      <c r="B82" s="6" t="s">
        <v>68</v>
      </c>
      <c r="C82" s="23" t="s">
        <v>69</v>
      </c>
      <c r="D82" s="6" t="s">
        <v>70</v>
      </c>
    </row>
    <row r="83" spans="1:4" x14ac:dyDescent="0.25">
      <c r="A83" s="75"/>
      <c r="B83" s="48" t="s">
        <v>7</v>
      </c>
      <c r="C83" s="76"/>
      <c r="D83" s="49"/>
    </row>
    <row r="84" spans="1:4" x14ac:dyDescent="0.25">
      <c r="A84" s="75"/>
      <c r="B84" s="5" t="s">
        <v>8</v>
      </c>
      <c r="C84" s="48" t="s">
        <v>4</v>
      </c>
      <c r="D84" s="49"/>
    </row>
    <row r="85" spans="1:4" x14ac:dyDescent="0.25">
      <c r="A85" s="75"/>
      <c r="B85" s="6" t="s">
        <v>9</v>
      </c>
      <c r="C85" s="39" t="s">
        <v>10</v>
      </c>
      <c r="D85" s="40"/>
    </row>
    <row r="86" spans="1:4" x14ac:dyDescent="0.25">
      <c r="A86" s="75"/>
      <c r="B86" s="6"/>
      <c r="C86" s="5" t="s">
        <v>11</v>
      </c>
      <c r="D86" s="5" t="s">
        <v>12</v>
      </c>
    </row>
    <row r="87" spans="1:4" ht="252" x14ac:dyDescent="0.25">
      <c r="A87" s="75"/>
      <c r="B87" s="6"/>
      <c r="C87" s="7" t="s">
        <v>73</v>
      </c>
      <c r="D87" s="7" t="s">
        <v>74</v>
      </c>
    </row>
    <row r="88" spans="1:4" x14ac:dyDescent="0.25">
      <c r="A88" s="75"/>
      <c r="B88" s="6" t="s">
        <v>14</v>
      </c>
      <c r="C88" s="39" t="s">
        <v>15</v>
      </c>
      <c r="D88" s="40"/>
    </row>
    <row r="89" spans="1:4" x14ac:dyDescent="0.25">
      <c r="A89" s="74"/>
      <c r="B89" s="3" t="s">
        <v>19</v>
      </c>
      <c r="C89" s="2" t="str">
        <f>API!$A$1 &amp; "/config/group/[GROUP_ID]"&amp; API!$A$2</f>
        <v>http://localhost:8001/config/group/[GROUP_ID]</v>
      </c>
      <c r="D89" s="2" t="s">
        <v>75</v>
      </c>
    </row>
    <row r="90" spans="1:4" x14ac:dyDescent="0.25">
      <c r="A90" s="74"/>
      <c r="B90" s="15"/>
      <c r="C90" s="12" t="s">
        <v>76</v>
      </c>
      <c r="D90" s="16"/>
    </row>
    <row r="91" spans="1:4" x14ac:dyDescent="0.25">
      <c r="A91" s="74"/>
      <c r="B91" s="53" t="s">
        <v>2</v>
      </c>
      <c r="C91" s="77"/>
      <c r="D91" s="54"/>
    </row>
    <row r="92" spans="1:4" x14ac:dyDescent="0.25">
      <c r="A92" s="74"/>
      <c r="B92" s="3" t="s">
        <v>3</v>
      </c>
      <c r="C92" s="53" t="s">
        <v>4</v>
      </c>
      <c r="D92" s="54"/>
    </row>
    <row r="93" spans="1:4" x14ac:dyDescent="0.25">
      <c r="A93" s="74"/>
      <c r="B93" s="2" t="s">
        <v>23</v>
      </c>
      <c r="C93" s="17" t="s">
        <v>77</v>
      </c>
      <c r="D93" s="2"/>
    </row>
    <row r="94" spans="1:4" x14ac:dyDescent="0.25">
      <c r="A94" s="74"/>
      <c r="B94" s="53" t="s">
        <v>7</v>
      </c>
      <c r="C94" s="77"/>
      <c r="D94" s="54"/>
    </row>
    <row r="95" spans="1:4" x14ac:dyDescent="0.25">
      <c r="A95" s="74"/>
      <c r="B95" s="3" t="s">
        <v>8</v>
      </c>
      <c r="C95" s="53" t="s">
        <v>4</v>
      </c>
      <c r="D95" s="54"/>
    </row>
    <row r="96" spans="1:4" x14ac:dyDescent="0.25">
      <c r="A96" s="74"/>
      <c r="B96" s="2" t="s">
        <v>9</v>
      </c>
      <c r="C96" s="43" t="s">
        <v>10</v>
      </c>
      <c r="D96" s="44"/>
    </row>
    <row r="97" spans="1:4" x14ac:dyDescent="0.25">
      <c r="A97" s="74"/>
      <c r="B97" s="2"/>
      <c r="C97" s="3" t="s">
        <v>11</v>
      </c>
      <c r="D97" s="3" t="s">
        <v>12</v>
      </c>
    </row>
    <row r="98" spans="1:4" ht="409.5" x14ac:dyDescent="0.25">
      <c r="A98" s="74"/>
      <c r="B98" s="2"/>
      <c r="C98" s="1" t="s">
        <v>78</v>
      </c>
      <c r="D98" s="4" t="s">
        <v>79</v>
      </c>
    </row>
    <row r="99" spans="1:4" x14ac:dyDescent="0.25">
      <c r="A99" s="74"/>
      <c r="B99" s="2" t="s">
        <v>14</v>
      </c>
      <c r="C99" s="43" t="s">
        <v>15</v>
      </c>
      <c r="D99" s="44"/>
    </row>
  </sheetData>
  <mergeCells count="70">
    <mergeCell ref="C96:D96"/>
    <mergeCell ref="C99:D99"/>
    <mergeCell ref="A89:A99"/>
    <mergeCell ref="B80:D80"/>
    <mergeCell ref="C81:D81"/>
    <mergeCell ref="B83:D83"/>
    <mergeCell ref="C84:D84"/>
    <mergeCell ref="C85:D85"/>
    <mergeCell ref="C88:D88"/>
    <mergeCell ref="A78:A88"/>
    <mergeCell ref="B91:D91"/>
    <mergeCell ref="C92:D92"/>
    <mergeCell ref="B94:D94"/>
    <mergeCell ref="C95:D95"/>
    <mergeCell ref="A68:A77"/>
    <mergeCell ref="B69:D69"/>
    <mergeCell ref="C70:D70"/>
    <mergeCell ref="B72:D72"/>
    <mergeCell ref="C73:D73"/>
    <mergeCell ref="C74:D74"/>
    <mergeCell ref="C77:D77"/>
    <mergeCell ref="C54:D54"/>
    <mergeCell ref="C55:D55"/>
    <mergeCell ref="C58:D58"/>
    <mergeCell ref="A59:A67"/>
    <mergeCell ref="B60:D60"/>
    <mergeCell ref="C61:D61"/>
    <mergeCell ref="B62:D62"/>
    <mergeCell ref="C63:D63"/>
    <mergeCell ref="C64:D64"/>
    <mergeCell ref="C67:D67"/>
    <mergeCell ref="B47:D47"/>
    <mergeCell ref="C48:D48"/>
    <mergeCell ref="C49:D49"/>
    <mergeCell ref="C50:D50"/>
    <mergeCell ref="B53:D53"/>
    <mergeCell ref="C20:D20"/>
    <mergeCell ref="C23:D23"/>
    <mergeCell ref="C45:D45"/>
    <mergeCell ref="C25:D25"/>
    <mergeCell ref="B28:D28"/>
    <mergeCell ref="C29:D29"/>
    <mergeCell ref="C30:D30"/>
    <mergeCell ref="C33:D33"/>
    <mergeCell ref="B35:D35"/>
    <mergeCell ref="C36:D36"/>
    <mergeCell ref="C37:D37"/>
    <mergeCell ref="B40:D40"/>
    <mergeCell ref="C41:D41"/>
    <mergeCell ref="C42:D42"/>
    <mergeCell ref="B2:D2"/>
    <mergeCell ref="B5:D5"/>
    <mergeCell ref="C6:D6"/>
    <mergeCell ref="C24:D24"/>
    <mergeCell ref="B12:D12"/>
    <mergeCell ref="B15:D15"/>
    <mergeCell ref="C3:D3"/>
    <mergeCell ref="C4:D4"/>
    <mergeCell ref="C7:D7"/>
    <mergeCell ref="C10:D10"/>
    <mergeCell ref="C13:D13"/>
    <mergeCell ref="C14:D14"/>
    <mergeCell ref="C16:D16"/>
    <mergeCell ref="C17:D17"/>
    <mergeCell ref="B22:D22"/>
    <mergeCell ref="A1:A10"/>
    <mergeCell ref="A11:A20"/>
    <mergeCell ref="A21:A33"/>
    <mergeCell ref="A34:A45"/>
    <mergeCell ref="A46:A58"/>
  </mergeCells>
  <phoneticPr fontId="9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"/>
  <sheetViews>
    <sheetView workbookViewId="0">
      <selection activeCell="J14" sqref="J14"/>
    </sheetView>
  </sheetViews>
  <sheetFormatPr defaultRowHeight="15.75" x14ac:dyDescent="0.25"/>
  <cols>
    <col min="2" max="2" width="9.5703125" bestFit="1" customWidth="1"/>
    <col min="3" max="3" width="53.140625" bestFit="1" customWidth="1"/>
    <col min="4" max="4" width="46.42578125" customWidth="1"/>
  </cols>
  <sheetData>
    <row r="1" spans="1:4" x14ac:dyDescent="0.25">
      <c r="A1" s="74">
        <v>1</v>
      </c>
      <c r="B1" s="3" t="s">
        <v>19</v>
      </c>
      <c r="C1" s="2" t="str">
        <f>API!$A$1 &amp; "/"&amp; API!$A$2</f>
        <v>http://localhost:8001/</v>
      </c>
      <c r="D1" s="2" t="s">
        <v>101</v>
      </c>
    </row>
    <row r="2" spans="1:4" s="1" customFormat="1" ht="28.9" customHeight="1" x14ac:dyDescent="0.25">
      <c r="A2" s="74"/>
      <c r="B2" s="55" t="s">
        <v>104</v>
      </c>
      <c r="C2" s="78"/>
      <c r="D2" s="79"/>
    </row>
    <row r="3" spans="1:4" x14ac:dyDescent="0.25">
      <c r="A3" s="74"/>
      <c r="B3" s="50" t="s">
        <v>2</v>
      </c>
      <c r="C3" s="51"/>
      <c r="D3" s="52"/>
    </row>
    <row r="4" spans="1:4" x14ac:dyDescent="0.25">
      <c r="A4" s="74"/>
      <c r="B4" s="3" t="s">
        <v>3</v>
      </c>
      <c r="C4" s="53" t="s">
        <v>4</v>
      </c>
      <c r="D4" s="54"/>
    </row>
    <row r="5" spans="1:4" x14ac:dyDescent="0.25">
      <c r="A5" s="74"/>
      <c r="B5" s="50" t="s">
        <v>7</v>
      </c>
      <c r="C5" s="51"/>
      <c r="D5" s="52"/>
    </row>
    <row r="6" spans="1:4" x14ac:dyDescent="0.25">
      <c r="A6" s="74"/>
      <c r="B6" s="3" t="s">
        <v>8</v>
      </c>
      <c r="C6" s="53" t="s">
        <v>4</v>
      </c>
      <c r="D6" s="54"/>
    </row>
    <row r="7" spans="1:4" x14ac:dyDescent="0.25">
      <c r="A7" s="74"/>
      <c r="B7" s="2" t="s">
        <v>9</v>
      </c>
      <c r="C7" s="43" t="s">
        <v>10</v>
      </c>
      <c r="D7" s="44"/>
    </row>
    <row r="8" spans="1:4" x14ac:dyDescent="0.25">
      <c r="A8" s="74"/>
      <c r="B8" s="2"/>
      <c r="C8" s="3" t="s">
        <v>11</v>
      </c>
      <c r="D8" s="3" t="s">
        <v>12</v>
      </c>
    </row>
    <row r="9" spans="1:4" x14ac:dyDescent="0.25">
      <c r="A9" s="74"/>
      <c r="B9" s="2"/>
      <c r="C9" t="s">
        <v>102</v>
      </c>
      <c r="D9" s="3" t="s">
        <v>103</v>
      </c>
    </row>
    <row r="10" spans="1:4" x14ac:dyDescent="0.25">
      <c r="A10" s="74"/>
      <c r="B10" s="2" t="s">
        <v>14</v>
      </c>
      <c r="C10" s="43" t="s">
        <v>15</v>
      </c>
      <c r="D10" s="44"/>
    </row>
  </sheetData>
  <mergeCells count="8">
    <mergeCell ref="C10:D10"/>
    <mergeCell ref="B2:D2"/>
    <mergeCell ref="A1:A10"/>
    <mergeCell ref="B3:D3"/>
    <mergeCell ref="C4:D4"/>
    <mergeCell ref="B5:D5"/>
    <mergeCell ref="C6:D6"/>
    <mergeCell ref="C7:D7"/>
  </mergeCells>
  <phoneticPr fontId="9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41"/>
  <sheetViews>
    <sheetView workbookViewId="0">
      <selection activeCell="G9" sqref="G9"/>
    </sheetView>
  </sheetViews>
  <sheetFormatPr defaultRowHeight="15.75" x14ac:dyDescent="0.25"/>
  <cols>
    <col min="2" max="2" width="9.7109375" bestFit="1" customWidth="1"/>
    <col min="3" max="3" width="76.28515625" bestFit="1" customWidth="1"/>
    <col min="4" max="4" width="52.42578125" customWidth="1"/>
  </cols>
  <sheetData>
    <row r="1" spans="1:4" x14ac:dyDescent="0.25">
      <c r="A1" s="89">
        <v>2</v>
      </c>
      <c r="B1" s="25" t="s">
        <v>46</v>
      </c>
      <c r="C1" s="26" t="str">
        <f>API!$A$1 &amp; "/api/analyze"&amp; API!$A$2</f>
        <v>http://localhost:8001/api/analyze</v>
      </c>
      <c r="D1" s="27" t="s">
        <v>97</v>
      </c>
    </row>
    <row r="2" spans="1:4" x14ac:dyDescent="0.25">
      <c r="A2" s="90"/>
      <c r="B2" s="50" t="s">
        <v>2</v>
      </c>
      <c r="C2" s="51"/>
      <c r="D2" s="95"/>
    </row>
    <row r="3" spans="1:4" x14ac:dyDescent="0.25">
      <c r="A3" s="90"/>
      <c r="B3" s="3" t="s">
        <v>3</v>
      </c>
      <c r="C3" s="53" t="s">
        <v>4</v>
      </c>
      <c r="D3" s="96"/>
    </row>
    <row r="4" spans="1:4" x14ac:dyDescent="0.25">
      <c r="A4" s="90"/>
      <c r="B4" s="2" t="s">
        <v>98</v>
      </c>
      <c r="C4" s="43" t="s">
        <v>99</v>
      </c>
      <c r="D4" s="86"/>
    </row>
    <row r="5" spans="1:4" x14ac:dyDescent="0.25">
      <c r="A5" s="90"/>
      <c r="B5" s="50" t="s">
        <v>7</v>
      </c>
      <c r="C5" s="51"/>
      <c r="D5" s="95"/>
    </row>
    <row r="6" spans="1:4" x14ac:dyDescent="0.25">
      <c r="A6" s="90"/>
      <c r="B6" s="3" t="s">
        <v>8</v>
      </c>
      <c r="C6" s="53" t="s">
        <v>4</v>
      </c>
      <c r="D6" s="96"/>
    </row>
    <row r="7" spans="1:4" x14ac:dyDescent="0.25">
      <c r="A7" s="90"/>
      <c r="B7" s="80">
        <v>200</v>
      </c>
      <c r="C7" s="43" t="s">
        <v>10</v>
      </c>
      <c r="D7" s="86"/>
    </row>
    <row r="8" spans="1:4" ht="16.5" customHeight="1" x14ac:dyDescent="0.25">
      <c r="A8" s="90"/>
      <c r="B8" s="81"/>
      <c r="C8" s="3" t="s">
        <v>11</v>
      </c>
      <c r="D8" s="28" t="s">
        <v>12</v>
      </c>
    </row>
    <row r="9" spans="1:4" ht="409.5" x14ac:dyDescent="0.25">
      <c r="A9" s="90"/>
      <c r="B9" s="85"/>
      <c r="C9" s="24" t="s">
        <v>118</v>
      </c>
      <c r="D9" s="29" t="s">
        <v>119</v>
      </c>
    </row>
    <row r="10" spans="1:4" x14ac:dyDescent="0.25">
      <c r="A10" s="90"/>
      <c r="B10" s="80">
        <v>400</v>
      </c>
      <c r="C10" s="83" t="s">
        <v>106</v>
      </c>
      <c r="D10" s="84"/>
    </row>
    <row r="11" spans="1:4" x14ac:dyDescent="0.25">
      <c r="A11" s="90"/>
      <c r="B11" s="81"/>
      <c r="C11" s="3" t="s">
        <v>11</v>
      </c>
      <c r="D11" s="28" t="s">
        <v>12</v>
      </c>
    </row>
    <row r="12" spans="1:4" x14ac:dyDescent="0.25">
      <c r="A12" s="90"/>
      <c r="B12" s="85"/>
      <c r="C12" s="24" t="s">
        <v>105</v>
      </c>
      <c r="D12" s="29" t="s">
        <v>100</v>
      </c>
    </row>
    <row r="13" spans="1:4" x14ac:dyDescent="0.25">
      <c r="A13" s="90"/>
      <c r="B13" s="80">
        <v>413</v>
      </c>
      <c r="C13" s="83" t="s">
        <v>107</v>
      </c>
      <c r="D13" s="84"/>
    </row>
    <row r="14" spans="1:4" x14ac:dyDescent="0.25">
      <c r="A14" s="90"/>
      <c r="B14" s="81"/>
      <c r="C14" s="3" t="s">
        <v>11</v>
      </c>
      <c r="D14" s="28" t="s">
        <v>12</v>
      </c>
    </row>
    <row r="15" spans="1:4" x14ac:dyDescent="0.25">
      <c r="A15" s="90"/>
      <c r="B15" s="85"/>
      <c r="C15" s="24" t="s">
        <v>105</v>
      </c>
      <c r="D15" s="29" t="s">
        <v>108</v>
      </c>
    </row>
    <row r="16" spans="1:4" x14ac:dyDescent="0.25">
      <c r="A16" s="90"/>
      <c r="B16" s="80">
        <v>422</v>
      </c>
      <c r="C16" s="83" t="s">
        <v>109</v>
      </c>
      <c r="D16" s="84"/>
    </row>
    <row r="17" spans="1:4" x14ac:dyDescent="0.25">
      <c r="A17" s="90"/>
      <c r="B17" s="81"/>
      <c r="C17" s="3" t="s">
        <v>11</v>
      </c>
      <c r="D17" s="28" t="s">
        <v>12</v>
      </c>
    </row>
    <row r="18" spans="1:4" x14ac:dyDescent="0.25">
      <c r="A18" s="90"/>
      <c r="B18" s="85"/>
      <c r="C18" s="24" t="s">
        <v>105</v>
      </c>
      <c r="D18" s="29" t="s">
        <v>110</v>
      </c>
    </row>
    <row r="19" spans="1:4" x14ac:dyDescent="0.25">
      <c r="A19" s="90"/>
      <c r="B19" s="80">
        <v>500</v>
      </c>
      <c r="C19" s="83" t="s">
        <v>111</v>
      </c>
      <c r="D19" s="84"/>
    </row>
    <row r="20" spans="1:4" x14ac:dyDescent="0.25">
      <c r="A20" s="90"/>
      <c r="B20" s="81"/>
      <c r="C20" s="3" t="s">
        <v>11</v>
      </c>
      <c r="D20" s="28" t="s">
        <v>12</v>
      </c>
    </row>
    <row r="21" spans="1:4" ht="16.5" thickBot="1" x14ac:dyDescent="0.3">
      <c r="A21" s="91"/>
      <c r="B21" s="82"/>
      <c r="C21" s="30" t="s">
        <v>105</v>
      </c>
      <c r="D21" s="31" t="s">
        <v>112</v>
      </c>
    </row>
    <row r="22" spans="1:4" x14ac:dyDescent="0.25">
      <c r="A22" s="92"/>
      <c r="B22" s="32" t="s">
        <v>46</v>
      </c>
      <c r="C22" s="33" t="str">
        <f>API!$A$1 &amp; "/devices/status/[DEV_ID]"&amp; API!$A$2</f>
        <v>http://localhost:8001/devices/status/[DEV_ID]</v>
      </c>
      <c r="D22" s="34" t="s">
        <v>113</v>
      </c>
    </row>
    <row r="23" spans="1:4" x14ac:dyDescent="0.25">
      <c r="A23" s="93"/>
      <c r="B23" s="45" t="s">
        <v>2</v>
      </c>
      <c r="C23" s="46"/>
      <c r="D23" s="97"/>
    </row>
    <row r="24" spans="1:4" x14ac:dyDescent="0.25">
      <c r="A24" s="93"/>
      <c r="B24" s="5" t="s">
        <v>3</v>
      </c>
      <c r="C24" s="48" t="s">
        <v>4</v>
      </c>
      <c r="D24" s="98"/>
    </row>
    <row r="25" spans="1:4" x14ac:dyDescent="0.25">
      <c r="A25" s="93"/>
      <c r="B25" s="6" t="s">
        <v>114</v>
      </c>
      <c r="C25" s="39" t="s">
        <v>115</v>
      </c>
      <c r="D25" s="99"/>
    </row>
    <row r="26" spans="1:4" x14ac:dyDescent="0.25">
      <c r="A26" s="93"/>
      <c r="B26" s="45" t="s">
        <v>7</v>
      </c>
      <c r="C26" s="46"/>
      <c r="D26" s="97"/>
    </row>
    <row r="27" spans="1:4" x14ac:dyDescent="0.25">
      <c r="A27" s="93"/>
      <c r="B27" s="5" t="s">
        <v>8</v>
      </c>
      <c r="C27" s="48" t="s">
        <v>4</v>
      </c>
      <c r="D27" s="98"/>
    </row>
    <row r="28" spans="1:4" x14ac:dyDescent="0.25">
      <c r="A28" s="93"/>
      <c r="B28" s="6" t="s">
        <v>9</v>
      </c>
      <c r="C28" s="39" t="s">
        <v>10</v>
      </c>
      <c r="D28" s="99"/>
    </row>
    <row r="29" spans="1:4" x14ac:dyDescent="0.25">
      <c r="A29" s="93"/>
      <c r="B29" s="6"/>
      <c r="C29" s="5" t="s">
        <v>11</v>
      </c>
      <c r="D29" s="35" t="s">
        <v>12</v>
      </c>
    </row>
    <row r="30" spans="1:4" x14ac:dyDescent="0.25">
      <c r="A30" s="93"/>
      <c r="B30" s="6"/>
      <c r="C30" s="7" t="s">
        <v>116</v>
      </c>
      <c r="D30" s="29" t="s">
        <v>116</v>
      </c>
    </row>
    <row r="31" spans="1:4" ht="16.5" thickBot="1" x14ac:dyDescent="0.3">
      <c r="A31" s="94"/>
      <c r="B31" s="36" t="s">
        <v>14</v>
      </c>
      <c r="C31" s="100" t="s">
        <v>117</v>
      </c>
      <c r="D31" s="101"/>
    </row>
    <row r="32" spans="1:4" x14ac:dyDescent="0.25">
      <c r="A32" s="89"/>
      <c r="B32" s="25" t="s">
        <v>46</v>
      </c>
      <c r="C32" s="26" t="str">
        <f>API!$A$1 &amp; "/devices/rt/[DEV_ID]"&amp; API!$A$2</f>
        <v>http://localhost:8001/devices/rt/[DEV_ID]</v>
      </c>
      <c r="D32" s="27" t="s">
        <v>80</v>
      </c>
    </row>
    <row r="33" spans="1:4" x14ac:dyDescent="0.25">
      <c r="A33" s="90"/>
      <c r="B33" s="50" t="s">
        <v>2</v>
      </c>
      <c r="C33" s="51"/>
      <c r="D33" s="95"/>
    </row>
    <row r="34" spans="1:4" x14ac:dyDescent="0.25">
      <c r="A34" s="90"/>
      <c r="B34" s="3" t="s">
        <v>3</v>
      </c>
      <c r="C34" s="53" t="s">
        <v>4</v>
      </c>
      <c r="D34" s="96"/>
    </row>
    <row r="35" spans="1:4" x14ac:dyDescent="0.25">
      <c r="A35" s="90"/>
      <c r="B35" s="2" t="s">
        <v>5</v>
      </c>
      <c r="C35" s="43" t="s">
        <v>6</v>
      </c>
      <c r="D35" s="86"/>
    </row>
    <row r="36" spans="1:4" x14ac:dyDescent="0.25">
      <c r="A36" s="90"/>
      <c r="B36" s="50" t="s">
        <v>7</v>
      </c>
      <c r="C36" s="51"/>
      <c r="D36" s="95"/>
    </row>
    <row r="37" spans="1:4" x14ac:dyDescent="0.25">
      <c r="A37" s="90"/>
      <c r="B37" s="3" t="s">
        <v>8</v>
      </c>
      <c r="C37" s="53" t="s">
        <v>4</v>
      </c>
      <c r="D37" s="96"/>
    </row>
    <row r="38" spans="1:4" x14ac:dyDescent="0.25">
      <c r="A38" s="90"/>
      <c r="B38" s="2" t="s">
        <v>9</v>
      </c>
      <c r="C38" s="43" t="s">
        <v>10</v>
      </c>
      <c r="D38" s="86"/>
    </row>
    <row r="39" spans="1:4" x14ac:dyDescent="0.25">
      <c r="A39" s="90"/>
      <c r="B39" s="2"/>
      <c r="C39" s="3" t="s">
        <v>11</v>
      </c>
      <c r="D39" s="28" t="s">
        <v>12</v>
      </c>
    </row>
    <row r="40" spans="1:4" x14ac:dyDescent="0.25">
      <c r="A40" s="90"/>
      <c r="B40" s="2"/>
      <c r="C40" s="4" t="s">
        <v>20</v>
      </c>
      <c r="D40" s="37" t="s">
        <v>20</v>
      </c>
    </row>
    <row r="41" spans="1:4" ht="16.5" thickBot="1" x14ac:dyDescent="0.3">
      <c r="A41" s="91"/>
      <c r="B41" s="38" t="s">
        <v>14</v>
      </c>
      <c r="C41" s="87" t="s">
        <v>15</v>
      </c>
      <c r="D41" s="88"/>
    </row>
  </sheetData>
  <mergeCells count="32">
    <mergeCell ref="B2:D2"/>
    <mergeCell ref="C3:D3"/>
    <mergeCell ref="C4:D4"/>
    <mergeCell ref="B5:D5"/>
    <mergeCell ref="C25:D25"/>
    <mergeCell ref="C6:D6"/>
    <mergeCell ref="C7:D7"/>
    <mergeCell ref="C13:D13"/>
    <mergeCell ref="B7:B9"/>
    <mergeCell ref="C38:D38"/>
    <mergeCell ref="C41:D41"/>
    <mergeCell ref="A1:A21"/>
    <mergeCell ref="A22:A31"/>
    <mergeCell ref="A32:A41"/>
    <mergeCell ref="C35:D35"/>
    <mergeCell ref="B36:D36"/>
    <mergeCell ref="C37:D37"/>
    <mergeCell ref="B26:D26"/>
    <mergeCell ref="C27:D27"/>
    <mergeCell ref="C28:D28"/>
    <mergeCell ref="C31:D31"/>
    <mergeCell ref="B33:D33"/>
    <mergeCell ref="C34:D34"/>
    <mergeCell ref="B23:D23"/>
    <mergeCell ref="C24:D24"/>
    <mergeCell ref="B19:B21"/>
    <mergeCell ref="C19:D19"/>
    <mergeCell ref="B10:B12"/>
    <mergeCell ref="B13:B15"/>
    <mergeCell ref="C10:D10"/>
    <mergeCell ref="B16:B18"/>
    <mergeCell ref="C16:D16"/>
  </mergeCells>
  <phoneticPr fontId="9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4"/>
  <sheetViews>
    <sheetView workbookViewId="0">
      <selection activeCell="B6" sqref="B6:C6"/>
    </sheetView>
  </sheetViews>
  <sheetFormatPr defaultRowHeight="15.75" x14ac:dyDescent="0.25"/>
  <cols>
    <col min="1" max="1" width="19.85546875" bestFit="1" customWidth="1"/>
    <col min="3" max="3" width="97" bestFit="1" customWidth="1"/>
    <col min="4" max="4" width="11.28515625" bestFit="1" customWidth="1"/>
  </cols>
  <sheetData>
    <row r="1" spans="1:4" x14ac:dyDescent="0.25">
      <c r="A1" s="22" t="s">
        <v>96</v>
      </c>
      <c r="B1" s="18" t="s">
        <v>95</v>
      </c>
      <c r="C1" s="18"/>
    </row>
    <row r="2" spans="1:4" x14ac:dyDescent="0.25">
      <c r="B2" t="s">
        <v>94</v>
      </c>
      <c r="C2" t="s">
        <v>81</v>
      </c>
    </row>
    <row r="4" spans="1:4" x14ac:dyDescent="0.25">
      <c r="A4" t="s">
        <v>82</v>
      </c>
    </row>
    <row r="5" spans="1:4" x14ac:dyDescent="0.25">
      <c r="A5">
        <v>1</v>
      </c>
      <c r="B5" t="str">
        <f>IFERROR(VLOOKUP($A5,'listener-get'!$A:$D,2,FALSE),IFERROR(VLOOKUP($A5,'listener-post'!$A:$D,2,FALSE),IFERROR(VLOOKUP($A5,'andon-get'!$A:$D,2,FALSE),IFERROR(VLOOKUP($A5,'admin-delete'!$A:$D,2,FALSE),IFERROR(VLOOKUP($A5,'admin-get'!$A:$D,2,FALSE),IFERROR(VLOOKUP($A5,'admin-put'!$A:$D,2,FALSE),IFERROR(VLOOKUP($A5,'admin-post'!$A:$D,2,FALSE),"")))))))</f>
        <v>GET</v>
      </c>
      <c r="C5" t="str">
        <f>IFERROR(VLOOKUP($A5,'listener-get'!$A:$D,3,FALSE),IFERROR(VLOOKUP($A5,'listener-post'!$A:$D,3,FALSE),IFERROR(VLOOKUP($A5,'andon-get'!$A:$D,3,FALSE),IFERROR(VLOOKUP($A5,'admin-delete'!$A:$D,3,FALSE),IFERROR(VLOOKUP($A5,'admin-get'!$A:$D,3,FALSE),IFERROR(VLOOKUP($A5,'admin-put'!$A:$D,3,FALSE),IFERROR(VLOOKUP($A5,'admin-post'!$A:$D,3,FALSE),"")))))))</f>
        <v>http://localhost:8001/</v>
      </c>
      <c r="D5" s="19" t="str">
        <f>IF(IFERROR(MATCH(A5,'listener-get'!$A:$A,0),"")&lt;&gt;"","listener-get",IF(IFERROR(MATCH(A5,'listener-post'!$A:$A,0),"")&lt;&gt;"","listener-post",IF(IFERROR(MATCH(A5,'andon-get'!$A:$A,0),"")&lt;&gt;"","andon-get",IF(IFERROR(MATCH(A5,'admin-post'!$A:$A,0),"")&lt;&gt;"","admin-post",IF(IFERROR(MATCH(A5,'admin-put'!$A:$A,0),"")&lt;&gt;"","admin-put",IF(IFERROR(MATCH(A5,'admin-get'!$A:$A,0),"")&lt;&gt;"","admin-get",IF(IFERROR(MATCH(A5,'admin-delete'!$A:$A,0),"")&lt;&gt;"","admin-delete","")))))))</f>
        <v>listener-get</v>
      </c>
    </row>
    <row r="6" spans="1:4" x14ac:dyDescent="0.25">
      <c r="A6">
        <v>2</v>
      </c>
      <c r="B6" t="str">
        <f>IFERROR(VLOOKUP($A6,'listener-get'!$A:$D,2,FALSE),IFERROR(VLOOKUP($A6,'listener-post'!$A:$D,2,FALSE),IFERROR(VLOOKUP($A6,'andon-get'!$A:$D,2,FALSE),IFERROR(VLOOKUP($A6,'admin-delete'!$A:$D,2,FALSE),IFERROR(VLOOKUP($A6,'admin-get'!$A:$D,2,FALSE),IFERROR(VLOOKUP($A6,'admin-put'!$A:$D,2,FALSE),IFERROR(VLOOKUP($A6,'admin-post'!$A:$D,2,FALSE),"")))))))</f>
        <v>POST</v>
      </c>
      <c r="C6" t="str">
        <f>IFERROR(VLOOKUP($A6,'listener-get'!$A:$D,3,FALSE),IFERROR(VLOOKUP($A6,'listener-post'!$A:$D,3,FALSE),IFERROR(VLOOKUP($A6,'andon-get'!$A:$D,3,FALSE),IFERROR(VLOOKUP($A6,'admin-delete'!$A:$D,3,FALSE),IFERROR(VLOOKUP($A6,'admin-get'!$A:$D,3,FALSE),IFERROR(VLOOKUP($A6,'admin-put'!$A:$D,3,FALSE),IFERROR(VLOOKUP($A6,'admin-post'!$A:$D,3,FALSE),"")))))))</f>
        <v>http://localhost:8001/api/analyze</v>
      </c>
      <c r="D6" s="19" t="str">
        <f>IF(IFERROR(MATCH(A6,'listener-get'!$A:$A,0),"")&lt;&gt;"","listener-get",IF(IFERROR(MATCH(A6,'listener-post'!$A:$A,0),"")&lt;&gt;"","listener-post",IF(IFERROR(MATCH(A6,'andon-get'!$A:$A,0),"")&lt;&gt;"","andon-get",IF(IFERROR(MATCH(A6,'admin-post'!$A:$A,0),"")&lt;&gt;"","admin-post",IF(IFERROR(MATCH(A6,'admin-put'!$A:$A,0),"")&lt;&gt;"","admin-put",IF(IFERROR(MATCH(A6,'admin-get'!$A:$A,0),"")&lt;&gt;"","admin-get",IF(IFERROR(MATCH(A6,'admin-delete'!$A:$A,0),"")&lt;&gt;"","admin-delete","")))))))</f>
        <v>listener-post</v>
      </c>
    </row>
    <row r="7" spans="1:4" x14ac:dyDescent="0.25">
      <c r="A7">
        <v>3</v>
      </c>
      <c r="B7" t="str">
        <f>IFERROR(VLOOKUP($A7,'listener-get'!$A:$D,2,FALSE),IFERROR(VLOOKUP($A7,'listener-post'!$A:$D,2,FALSE),IFERROR(VLOOKUP($A7,'andon-get'!$A:$D,2,FALSE),IFERROR(VLOOKUP($A7,'admin-delete'!$A:$D,2,FALSE),IFERROR(VLOOKUP($A7,'admin-get'!$A:$D,2,FALSE),IFERROR(VLOOKUP($A7,'admin-put'!$A:$D,2,FALSE),IFERROR(VLOOKUP($A7,'admin-post'!$A:$D,2,FALSE),"")))))))</f>
        <v>GET</v>
      </c>
      <c r="C7" t="str">
        <f>IFERROR(VLOOKUP($A7,'listener-get'!$A:$D,3,FALSE),IFERROR(VLOOKUP($A7,'listener-post'!$A:$D,3,FALSE),IFERROR(VLOOKUP($A7,'andon-get'!$A:$D,3,FALSE),IFERROR(VLOOKUP($A7,'admin-delete'!$A:$D,3,FALSE),IFERROR(VLOOKUP($A7,'admin-get'!$A:$D,3,FALSE),IFERROR(VLOOKUP($A7,'admin-put'!$A:$D,3,FALSE),IFERROR(VLOOKUP($A7,'admin-post'!$A:$D,3,FALSE),"")))))))</f>
        <v>http://localhost:8001/api/analyze/{analyze_id}</v>
      </c>
      <c r="D7" s="19" t="str">
        <f>IF(IFERROR(MATCH(A7,'listener-get'!$A:$A,0),"")&lt;&gt;"","listener-get",IF(IFERROR(MATCH(A7,'listener-post'!$A:$A,0),"")&lt;&gt;"","listener-post",IF(IFERROR(MATCH(A7,'andon-get'!$A:$A,0),"")&lt;&gt;"","andon-get",IF(IFERROR(MATCH(A7,'admin-post'!$A:$A,0),"")&lt;&gt;"","admin-post",IF(IFERROR(MATCH(A7,'admin-put'!$A:$A,0),"")&lt;&gt;"","admin-put",IF(IFERROR(MATCH(A7,'admin-get'!$A:$A,0),"")&lt;&gt;"","admin-get",IF(IFERROR(MATCH(A7,'admin-delete'!$A:$A,0),"")&lt;&gt;"","admin-delete","")))))))</f>
        <v>admin-get</v>
      </c>
    </row>
    <row r="8" spans="1:4" x14ac:dyDescent="0.25">
      <c r="A8">
        <v>4</v>
      </c>
      <c r="B8" t="str">
        <f>IFERROR(VLOOKUP($A8,'listener-get'!$A:$D,2,FALSE),IFERROR(VLOOKUP($A8,'listener-post'!$A:$D,2,FALSE),IFERROR(VLOOKUP($A8,'andon-get'!$A:$D,2,FALSE),IFERROR(VLOOKUP($A8,'admin-delete'!$A:$D,2,FALSE),IFERROR(VLOOKUP($A8,'admin-get'!$A:$D,2,FALSE),IFERROR(VLOOKUP($A8,'admin-put'!$A:$D,2,FALSE),IFERROR(VLOOKUP($A8,'admin-post'!$A:$D,2,FALSE),"")))))))</f>
        <v>GET</v>
      </c>
      <c r="C8" t="str">
        <f>IFERROR(VLOOKUP($A8,'listener-get'!$A:$D,3,FALSE),IFERROR(VLOOKUP($A8,'listener-post'!$A:$D,3,FALSE),IFERROR(VLOOKUP($A8,'andon-get'!$A:$D,3,FALSE),IFERROR(VLOOKUP($A8,'admin-delete'!$A:$D,3,FALSE),IFERROR(VLOOKUP($A8,'admin-get'!$A:$D,3,FALSE),IFERROR(VLOOKUP($A8,'admin-put'!$A:$D,3,FALSE),IFERROR(VLOOKUP($A8,'admin-post'!$A:$D,3,FALSE),"")))))))</f>
        <v>http://localhost:8001/</v>
      </c>
      <c r="D8" s="19" t="str">
        <f>IF(IFERROR(MATCH(A8,'listener-get'!$A:$A,0),"")&lt;&gt;"","listener-get",IF(IFERROR(MATCH(A8,'listener-post'!$A:$A,0),"")&lt;&gt;"","listener-post",IF(IFERROR(MATCH(A8,'andon-get'!$A:$A,0),"")&lt;&gt;"","andon-get",IF(IFERROR(MATCH(A8,'admin-post'!$A:$A,0),"")&lt;&gt;"","admin-post",IF(IFERROR(MATCH(A8,'admin-put'!$A:$A,0),"")&lt;&gt;"","admin-put",IF(IFERROR(MATCH(A8,'admin-get'!$A:$A,0),"")&lt;&gt;"","admin-get",IF(IFERROR(MATCH(A8,'admin-delete'!$A:$A,0),"")&lt;&gt;"","admin-delete","")))))))</f>
        <v>admin-get</v>
      </c>
    </row>
    <row r="9" spans="1:4" x14ac:dyDescent="0.25">
      <c r="A9">
        <v>5</v>
      </c>
      <c r="B9" t="str">
        <f>IFERROR(VLOOKUP($A9,'listener-get'!$A:$D,2,FALSE),IFERROR(VLOOKUP($A9,'listener-post'!$A:$D,2,FALSE),IFERROR(VLOOKUP($A9,'andon-get'!$A:$D,2,FALSE),IFERROR(VLOOKUP($A9,'admin-delete'!$A:$D,2,FALSE),IFERROR(VLOOKUP($A9,'admin-get'!$A:$D,2,FALSE),IFERROR(VLOOKUP($A9,'admin-put'!$A:$D,2,FALSE),IFERROR(VLOOKUP($A9,'admin-post'!$A:$D,2,FALSE),"")))))))</f>
        <v>GET</v>
      </c>
      <c r="C9" t="str">
        <f>IFERROR(VLOOKUP($A9,'listener-get'!$A:$D,3,FALSE),IFERROR(VLOOKUP($A9,'listener-post'!$A:$D,3,FALSE),IFERROR(VLOOKUP($A9,'andon-get'!$A:$D,3,FALSE),IFERROR(VLOOKUP($A9,'admin-delete'!$A:$D,3,FALSE),IFERROR(VLOOKUP($A9,'admin-get'!$A:$D,3,FALSE),IFERROR(VLOOKUP($A9,'admin-put'!$A:$D,3,FALSE),IFERROR(VLOOKUP($A9,'admin-post'!$A:$D,3,FALSE),"")))))))</f>
        <v>http://localhost:8001/api/monitor/fallback-metrics</v>
      </c>
      <c r="D9" s="19" t="str">
        <f>IF(IFERROR(MATCH(A9,'listener-get'!$A:$A,0),"")&lt;&gt;"","listener-get",IF(IFERROR(MATCH(A9,'listener-post'!$A:$A,0),"")&lt;&gt;"","listener-post",IF(IFERROR(MATCH(A9,'andon-get'!$A:$A,0),"")&lt;&gt;"","andon-get",IF(IFERROR(MATCH(A9,'admin-post'!$A:$A,0),"")&lt;&gt;"","admin-post",IF(IFERROR(MATCH(A9,'admin-put'!$A:$A,0),"")&lt;&gt;"","admin-put",IF(IFERROR(MATCH(A9,'admin-get'!$A:$A,0),"")&lt;&gt;"","admin-get",IF(IFERROR(MATCH(A9,'admin-delete'!$A:$A,0),"")&lt;&gt;"","admin-delete","")))))))</f>
        <v>andon-get</v>
      </c>
    </row>
    <row r="10" spans="1:4" x14ac:dyDescent="0.25">
      <c r="A10">
        <v>6</v>
      </c>
      <c r="B10" t="str">
        <f>IFERROR(VLOOKUP($A10,'listener-get'!$A:$D,2,FALSE),IFERROR(VLOOKUP($A10,'listener-post'!$A:$D,2,FALSE),IFERROR(VLOOKUP($A10,'andon-get'!$A:$D,2,FALSE),IFERROR(VLOOKUP($A10,'admin-delete'!$A:$D,2,FALSE),IFERROR(VLOOKUP($A10,'admin-get'!$A:$D,2,FALSE),IFERROR(VLOOKUP($A10,'admin-put'!$A:$D,2,FALSE),IFERROR(VLOOKUP($A10,'admin-post'!$A:$D,2,FALSE),"")))))))</f>
        <v>POST</v>
      </c>
      <c r="C10" t="str">
        <f>IFERROR(VLOOKUP($A10,'listener-get'!$A:$D,3,FALSE),IFERROR(VLOOKUP($A10,'listener-post'!$A:$D,3,FALSE),IFERROR(VLOOKUP($A10,'andon-get'!$A:$D,3,FALSE),IFERROR(VLOOKUP($A10,'admin-delete'!$A:$D,3,FALSE),IFERROR(VLOOKUP($A10,'admin-get'!$A:$D,3,FALSE),IFERROR(VLOOKUP($A10,'admin-put'!$A:$D,3,FALSE),IFERROR(VLOOKUP($A10,'admin-post'!$A:$D,3,FALSE),"")))))))</f>
        <v>http://localhost:8001/api/users/register</v>
      </c>
      <c r="D10" s="19" t="str">
        <f>IF(IFERROR(MATCH(A10,'listener-get'!$A:$A,0),"")&lt;&gt;"","listener-get",IF(IFERROR(MATCH(A10,'listener-post'!$A:$A,0),"")&lt;&gt;"","listener-post",IF(IFERROR(MATCH(A10,'andon-get'!$A:$A,0),"")&lt;&gt;"","andon-get",IF(IFERROR(MATCH(A10,'admin-post'!$A:$A,0),"")&lt;&gt;"","admin-post",IF(IFERROR(MATCH(A10,'admin-put'!$A:$A,0),"")&lt;&gt;"","admin-put",IF(IFERROR(MATCH(A10,'admin-get'!$A:$A,0),"")&lt;&gt;"","admin-get",IF(IFERROR(MATCH(A10,'admin-delete'!$A:$A,0),"")&lt;&gt;"","admin-delete","")))))))</f>
        <v>admin-post</v>
      </c>
    </row>
    <row r="11" spans="1:4" x14ac:dyDescent="0.25">
      <c r="A11">
        <v>7</v>
      </c>
      <c r="B11" t="str">
        <f>IFERROR(VLOOKUP($A11,'listener-get'!$A:$D,2,FALSE),IFERROR(VLOOKUP($A11,'listener-post'!$A:$D,2,FALSE),IFERROR(VLOOKUP($A11,'andon-get'!$A:$D,2,FALSE),IFERROR(VLOOKUP($A11,'admin-delete'!$A:$D,2,FALSE),IFERROR(VLOOKUP($A11,'admin-get'!$A:$D,2,FALSE),IFERROR(VLOOKUP($A11,'admin-put'!$A:$D,2,FALSE),IFERROR(VLOOKUP($A11,'admin-post'!$A:$D,2,FALSE),"")))))))</f>
        <v/>
      </c>
      <c r="C11" t="str">
        <f>IFERROR(VLOOKUP($A11,'listener-get'!$A:$D,3,FALSE),IFERROR(VLOOKUP($A11,'listener-post'!$A:$D,3,FALSE),IFERROR(VLOOKUP($A11,'andon-get'!$A:$D,3,FALSE),IFERROR(VLOOKUP($A11,'admin-delete'!$A:$D,3,FALSE),IFERROR(VLOOKUP($A11,'admin-get'!$A:$D,3,FALSE),IFERROR(VLOOKUP($A11,'admin-put'!$A:$D,3,FALSE),IFERROR(VLOOKUP($A11,'admin-post'!$A:$D,3,FALSE),"")))))))</f>
        <v/>
      </c>
      <c r="D11" s="19" t="str">
        <f>IF(IFERROR(MATCH(A11,'listener-get'!$A:$A,0),"")&lt;&gt;"","listener-get",IF(IFERROR(MATCH(A11,'listener-post'!$A:$A,0),"")&lt;&gt;"","listener-post",IF(IFERROR(MATCH(A11,'andon-get'!$A:$A,0),"")&lt;&gt;"","andon-get",IF(IFERROR(MATCH(A11,'admin-post'!$A:$A,0),"")&lt;&gt;"","admin-post",IF(IFERROR(MATCH(A11,'admin-put'!$A:$A,0),"")&lt;&gt;"","admin-put",IF(IFERROR(MATCH(A11,'admin-get'!$A:$A,0),"")&lt;&gt;"","admin-get",IF(IFERROR(MATCH(A11,'admin-delete'!$A:$A,0),"")&lt;&gt;"","admin-delete","")))))))</f>
        <v/>
      </c>
    </row>
    <row r="12" spans="1:4" x14ac:dyDescent="0.25">
      <c r="A12">
        <v>8</v>
      </c>
      <c r="B12" t="str">
        <f>IFERROR(VLOOKUP($A12,'listener-get'!$A:$D,2,FALSE),IFERROR(VLOOKUP($A12,'listener-post'!$A:$D,2,FALSE),IFERROR(VLOOKUP($A12,'andon-get'!$A:$D,2,FALSE),IFERROR(VLOOKUP($A12,'admin-delete'!$A:$D,2,FALSE),IFERROR(VLOOKUP($A12,'admin-get'!$A:$D,2,FALSE),IFERROR(VLOOKUP($A12,'admin-put'!$A:$D,2,FALSE),IFERROR(VLOOKUP($A12,'admin-post'!$A:$D,2,FALSE),"")))))))</f>
        <v/>
      </c>
      <c r="C12" t="str">
        <f>IFERROR(VLOOKUP($A12,'listener-get'!$A:$D,3,FALSE),IFERROR(VLOOKUP($A12,'listener-post'!$A:$D,3,FALSE),IFERROR(VLOOKUP($A12,'andon-get'!$A:$D,3,FALSE),IFERROR(VLOOKUP($A12,'admin-delete'!$A:$D,3,FALSE),IFERROR(VLOOKUP($A12,'admin-get'!$A:$D,3,FALSE),IFERROR(VLOOKUP($A12,'admin-put'!$A:$D,3,FALSE),IFERROR(VLOOKUP($A12,'admin-post'!$A:$D,3,FALSE),"")))))))</f>
        <v/>
      </c>
      <c r="D12" s="19" t="str">
        <f>IF(IFERROR(MATCH(A12,'listener-get'!$A:$A,0),"")&lt;&gt;"","listener-get",IF(IFERROR(MATCH(A12,'listener-post'!$A:$A,0),"")&lt;&gt;"","listener-post",IF(IFERROR(MATCH(A12,'andon-get'!$A:$A,0),"")&lt;&gt;"","andon-get",IF(IFERROR(MATCH(A12,'admin-post'!$A:$A,0),"")&lt;&gt;"","admin-post",IF(IFERROR(MATCH(A12,'admin-put'!$A:$A,0),"")&lt;&gt;"","admin-put",IF(IFERROR(MATCH(A12,'admin-get'!$A:$A,0),"")&lt;&gt;"","admin-get",IF(IFERROR(MATCH(A12,'admin-delete'!$A:$A,0),"")&lt;&gt;"","admin-delete","")))))))</f>
        <v/>
      </c>
    </row>
    <row r="13" spans="1:4" x14ac:dyDescent="0.25">
      <c r="A13">
        <v>9</v>
      </c>
      <c r="B13" t="str">
        <f>IFERROR(VLOOKUP($A13,'listener-get'!$A:$D,2,FALSE),IFERROR(VLOOKUP($A13,'listener-post'!$A:$D,2,FALSE),IFERROR(VLOOKUP($A13,'andon-get'!$A:$D,2,FALSE),IFERROR(VLOOKUP($A13,'admin-delete'!$A:$D,2,FALSE),IFERROR(VLOOKUP($A13,'admin-get'!$A:$D,2,FALSE),IFERROR(VLOOKUP($A13,'admin-put'!$A:$D,2,FALSE),IFERROR(VLOOKUP($A13,'admin-post'!$A:$D,2,FALSE),"")))))))</f>
        <v/>
      </c>
      <c r="C13" t="str">
        <f>IFERROR(VLOOKUP($A13,'listener-get'!$A:$D,3,FALSE),IFERROR(VLOOKUP($A13,'listener-post'!$A:$D,3,FALSE),IFERROR(VLOOKUP($A13,'andon-get'!$A:$D,3,FALSE),IFERROR(VLOOKUP($A13,'admin-delete'!$A:$D,3,FALSE),IFERROR(VLOOKUP($A13,'admin-get'!$A:$D,3,FALSE),IFERROR(VLOOKUP($A13,'admin-put'!$A:$D,3,FALSE),IFERROR(VLOOKUP($A13,'admin-post'!$A:$D,3,FALSE),"")))))))</f>
        <v/>
      </c>
      <c r="D13" s="19" t="str">
        <f>IF(IFERROR(MATCH(A13,'listener-get'!$A:$A,0),"")&lt;&gt;"","listener-get",IF(IFERROR(MATCH(A13,'listener-post'!$A:$A,0),"")&lt;&gt;"","listener-post",IF(IFERROR(MATCH(A13,'andon-get'!$A:$A,0),"")&lt;&gt;"","andon-get",IF(IFERROR(MATCH(A13,'admin-post'!$A:$A,0),"")&lt;&gt;"","admin-post",IF(IFERROR(MATCH(A13,'admin-put'!$A:$A,0),"")&lt;&gt;"","admin-put",IF(IFERROR(MATCH(A13,'admin-get'!$A:$A,0),"")&lt;&gt;"","admin-get",IF(IFERROR(MATCH(A13,'admin-delete'!$A:$A,0),"")&lt;&gt;"","admin-delete","")))))))</f>
        <v/>
      </c>
    </row>
    <row r="14" spans="1:4" x14ac:dyDescent="0.25">
      <c r="A14">
        <v>10</v>
      </c>
      <c r="B14" t="str">
        <f>IFERROR(VLOOKUP($A14,'listener-get'!$A:$D,2,FALSE),IFERROR(VLOOKUP($A14,'listener-post'!$A:$D,2,FALSE),IFERROR(VLOOKUP($A14,'andon-get'!$A:$D,2,FALSE),IFERROR(VLOOKUP($A14,'admin-delete'!$A:$D,2,FALSE),IFERROR(VLOOKUP($A14,'admin-get'!$A:$D,2,FALSE),IFERROR(VLOOKUP($A14,'admin-put'!$A:$D,2,FALSE),IFERROR(VLOOKUP($A14,'admin-post'!$A:$D,2,FALSE),"")))))))</f>
        <v/>
      </c>
      <c r="C14" t="str">
        <f>IFERROR(VLOOKUP($A14,'listener-get'!$A:$D,3,FALSE),IFERROR(VLOOKUP($A14,'listener-post'!$A:$D,3,FALSE),IFERROR(VLOOKUP($A14,'andon-get'!$A:$D,3,FALSE),IFERROR(VLOOKUP($A14,'admin-delete'!$A:$D,3,FALSE),IFERROR(VLOOKUP($A14,'admin-get'!$A:$D,3,FALSE),IFERROR(VLOOKUP($A14,'admin-put'!$A:$D,3,FALSE),IFERROR(VLOOKUP($A14,'admin-post'!$A:$D,3,FALSE),"")))))))</f>
        <v/>
      </c>
      <c r="D14" s="19" t="str">
        <f>IF(IFERROR(MATCH(A14,'listener-get'!$A:$A,0),"")&lt;&gt;"","listener-get",IF(IFERROR(MATCH(A14,'listener-post'!$A:$A,0),"")&lt;&gt;"","listener-post",IF(IFERROR(MATCH(A14,'andon-get'!$A:$A,0),"")&lt;&gt;"","andon-get",IF(IFERROR(MATCH(A14,'admin-post'!$A:$A,0),"")&lt;&gt;"","admin-post",IF(IFERROR(MATCH(A14,'admin-put'!$A:$A,0),"")&lt;&gt;"","admin-put",IF(IFERROR(MATCH(A14,'admin-get'!$A:$A,0),"")&lt;&gt;"","admin-get",IF(IFERROR(MATCH(A14,'admin-delete'!$A:$A,0),"")&lt;&gt;"","admin-delete","")))))))</f>
        <v/>
      </c>
    </row>
    <row r="15" spans="1:4" x14ac:dyDescent="0.25">
      <c r="A15">
        <v>11</v>
      </c>
      <c r="B15" t="str">
        <f>IFERROR(VLOOKUP($A15,'listener-get'!$A:$D,2,FALSE),IFERROR(VLOOKUP($A15,'listener-post'!$A:$D,2,FALSE),IFERROR(VLOOKUP($A15,'andon-get'!$A:$D,2,FALSE),IFERROR(VLOOKUP($A15,'admin-delete'!$A:$D,2,FALSE),IFERROR(VLOOKUP($A15,'admin-get'!$A:$D,2,FALSE),IFERROR(VLOOKUP($A15,'admin-put'!$A:$D,2,FALSE),IFERROR(VLOOKUP($A15,'admin-post'!$A:$D,2,FALSE),"")))))))</f>
        <v/>
      </c>
      <c r="C15" t="str">
        <f>IFERROR(VLOOKUP($A15,'listener-get'!$A:$D,3,FALSE),IFERROR(VLOOKUP($A15,'listener-post'!$A:$D,3,FALSE),IFERROR(VLOOKUP($A15,'andon-get'!$A:$D,3,FALSE),IFERROR(VLOOKUP($A15,'admin-delete'!$A:$D,3,FALSE),IFERROR(VLOOKUP($A15,'admin-get'!$A:$D,3,FALSE),IFERROR(VLOOKUP($A15,'admin-put'!$A:$D,3,FALSE),IFERROR(VLOOKUP($A15,'admin-post'!$A:$D,3,FALSE),"")))))))</f>
        <v/>
      </c>
      <c r="D15" s="19" t="str">
        <f>IF(IFERROR(MATCH(A15,'listener-get'!$A:$A,0),"")&lt;&gt;"","listener-get",IF(IFERROR(MATCH(A15,'listener-post'!$A:$A,0),"")&lt;&gt;"","listener-post",IF(IFERROR(MATCH(A15,'andon-get'!$A:$A,0),"")&lt;&gt;"","andon-get",IF(IFERROR(MATCH(A15,'admin-post'!$A:$A,0),"")&lt;&gt;"","admin-post",IF(IFERROR(MATCH(A15,'admin-put'!$A:$A,0),"")&lt;&gt;"","admin-put",IF(IFERROR(MATCH(A15,'admin-get'!$A:$A,0),"")&lt;&gt;"","admin-get",IF(IFERROR(MATCH(A15,'admin-delete'!$A:$A,0),"")&lt;&gt;"","admin-delete","")))))))</f>
        <v/>
      </c>
    </row>
    <row r="16" spans="1:4" x14ac:dyDescent="0.25">
      <c r="A16">
        <v>12</v>
      </c>
      <c r="B16" t="str">
        <f>IFERROR(VLOOKUP($A16,'listener-get'!$A:$D,2,FALSE),IFERROR(VLOOKUP($A16,'listener-post'!$A:$D,2,FALSE),IFERROR(VLOOKUP($A16,'andon-get'!$A:$D,2,FALSE),IFERROR(VLOOKUP($A16,'admin-delete'!$A:$D,2,FALSE),IFERROR(VLOOKUP($A16,'admin-get'!$A:$D,2,FALSE),IFERROR(VLOOKUP($A16,'admin-put'!$A:$D,2,FALSE),IFERROR(VLOOKUP($A16,'admin-post'!$A:$D,2,FALSE),"")))))))</f>
        <v/>
      </c>
      <c r="C16" t="str">
        <f>IFERROR(VLOOKUP($A16,'listener-get'!$A:$D,3,FALSE),IFERROR(VLOOKUP($A16,'listener-post'!$A:$D,3,FALSE),IFERROR(VLOOKUP($A16,'andon-get'!$A:$D,3,FALSE),IFERROR(VLOOKUP($A16,'admin-delete'!$A:$D,3,FALSE),IFERROR(VLOOKUP($A16,'admin-get'!$A:$D,3,FALSE),IFERROR(VLOOKUP($A16,'admin-put'!$A:$D,3,FALSE),IFERROR(VLOOKUP($A16,'admin-post'!$A:$D,3,FALSE),"")))))))</f>
        <v/>
      </c>
      <c r="D16" s="19" t="str">
        <f>IF(IFERROR(MATCH(A16,'listener-get'!$A:$A,0),"")&lt;&gt;"","listener-get",IF(IFERROR(MATCH(A16,'listener-post'!$A:$A,0),"")&lt;&gt;"","listener-post",IF(IFERROR(MATCH(A16,'andon-get'!$A:$A,0),"")&lt;&gt;"","andon-get",IF(IFERROR(MATCH(A16,'admin-post'!$A:$A,0),"")&lt;&gt;"","admin-post",IF(IFERROR(MATCH(A16,'admin-put'!$A:$A,0),"")&lt;&gt;"","admin-put",IF(IFERROR(MATCH(A16,'admin-get'!$A:$A,0),"")&lt;&gt;"","admin-get",IF(IFERROR(MATCH(A16,'admin-delete'!$A:$A,0),"")&lt;&gt;"","admin-delete","")))))))</f>
        <v/>
      </c>
    </row>
    <row r="17" spans="1:4" x14ac:dyDescent="0.25">
      <c r="A17">
        <v>13</v>
      </c>
      <c r="B17" t="str">
        <f>IFERROR(VLOOKUP($A17,'listener-get'!$A:$D,2,FALSE),IFERROR(VLOOKUP($A17,'listener-post'!$A:$D,2,FALSE),IFERROR(VLOOKUP($A17,'andon-get'!$A:$D,2,FALSE),IFERROR(VLOOKUP($A17,'admin-delete'!$A:$D,2,FALSE),IFERROR(VLOOKUP($A17,'admin-get'!$A:$D,2,FALSE),IFERROR(VLOOKUP($A17,'admin-put'!$A:$D,2,FALSE),IFERROR(VLOOKUP($A17,'admin-post'!$A:$D,2,FALSE),"")))))))</f>
        <v/>
      </c>
      <c r="C17" t="str">
        <f>IFERROR(VLOOKUP($A17,'listener-get'!$A:$D,3,FALSE),IFERROR(VLOOKUP($A17,'listener-post'!$A:$D,3,FALSE),IFERROR(VLOOKUP($A17,'andon-get'!$A:$D,3,FALSE),IFERROR(VLOOKUP($A17,'admin-delete'!$A:$D,3,FALSE),IFERROR(VLOOKUP($A17,'admin-get'!$A:$D,3,FALSE),IFERROR(VLOOKUP($A17,'admin-put'!$A:$D,3,FALSE),IFERROR(VLOOKUP($A17,'admin-post'!$A:$D,3,FALSE),"")))))))</f>
        <v/>
      </c>
      <c r="D17" s="19" t="str">
        <f>IF(IFERROR(MATCH(A17,'listener-get'!$A:$A,0),"")&lt;&gt;"","listener-get",IF(IFERROR(MATCH(A17,'listener-post'!$A:$A,0),"")&lt;&gt;"","listener-post",IF(IFERROR(MATCH(A17,'andon-get'!$A:$A,0),"")&lt;&gt;"","andon-get",IF(IFERROR(MATCH(A17,'admin-post'!$A:$A,0),"")&lt;&gt;"","admin-post",IF(IFERROR(MATCH(A17,'admin-put'!$A:$A,0),"")&lt;&gt;"","admin-put",IF(IFERROR(MATCH(A17,'admin-get'!$A:$A,0),"")&lt;&gt;"","admin-get",IF(IFERROR(MATCH(A17,'admin-delete'!$A:$A,0),"")&lt;&gt;"","admin-delete","")))))))</f>
        <v/>
      </c>
    </row>
    <row r="18" spans="1:4" x14ac:dyDescent="0.25">
      <c r="A18">
        <v>14</v>
      </c>
      <c r="B18" t="str">
        <f>IFERROR(VLOOKUP($A18,'listener-get'!$A:$D,2,FALSE),IFERROR(VLOOKUP($A18,'listener-post'!$A:$D,2,FALSE),IFERROR(VLOOKUP($A18,'andon-get'!$A:$D,2,FALSE),IFERROR(VLOOKUP($A18,'admin-delete'!$A:$D,2,FALSE),IFERROR(VLOOKUP($A18,'admin-get'!$A:$D,2,FALSE),IFERROR(VLOOKUP($A18,'admin-put'!$A:$D,2,FALSE),IFERROR(VLOOKUP($A18,'admin-post'!$A:$D,2,FALSE),"")))))))</f>
        <v/>
      </c>
      <c r="C18" t="str">
        <f>IFERROR(VLOOKUP($A18,'listener-get'!$A:$D,3,FALSE),IFERROR(VLOOKUP($A18,'listener-post'!$A:$D,3,FALSE),IFERROR(VLOOKUP($A18,'andon-get'!$A:$D,3,FALSE),IFERROR(VLOOKUP($A18,'admin-delete'!$A:$D,3,FALSE),IFERROR(VLOOKUP($A18,'admin-get'!$A:$D,3,FALSE),IFERROR(VLOOKUP($A18,'admin-put'!$A:$D,3,FALSE),IFERROR(VLOOKUP($A18,'admin-post'!$A:$D,3,FALSE),"")))))))</f>
        <v/>
      </c>
      <c r="D18" s="19" t="str">
        <f>IF(IFERROR(MATCH(A18,'listener-get'!$A:$A,0),"")&lt;&gt;"","listener-get",IF(IFERROR(MATCH(A18,'listener-post'!$A:$A,0),"")&lt;&gt;"","listener-post",IF(IFERROR(MATCH(A18,'andon-get'!$A:$A,0),"")&lt;&gt;"","andon-get",IF(IFERROR(MATCH(A18,'admin-post'!$A:$A,0),"")&lt;&gt;"","admin-post",IF(IFERROR(MATCH(A18,'admin-put'!$A:$A,0),"")&lt;&gt;"","admin-put",IF(IFERROR(MATCH(A18,'admin-get'!$A:$A,0),"")&lt;&gt;"","admin-get",IF(IFERROR(MATCH(A18,'admin-delete'!$A:$A,0),"")&lt;&gt;"","admin-delete","")))))))</f>
        <v/>
      </c>
    </row>
    <row r="19" spans="1:4" x14ac:dyDescent="0.25">
      <c r="A19">
        <v>15</v>
      </c>
      <c r="B19" t="str">
        <f>IFERROR(VLOOKUP($A19,'listener-get'!$A:$D,2,FALSE),IFERROR(VLOOKUP($A19,'listener-post'!$A:$D,2,FALSE),IFERROR(VLOOKUP($A19,'andon-get'!$A:$D,2,FALSE),IFERROR(VLOOKUP($A19,'admin-delete'!$A:$D,2,FALSE),IFERROR(VLOOKUP($A19,'admin-get'!$A:$D,2,FALSE),IFERROR(VLOOKUP($A19,'admin-put'!$A:$D,2,FALSE),IFERROR(VLOOKUP($A19,'admin-post'!$A:$D,2,FALSE),"")))))))</f>
        <v/>
      </c>
      <c r="C19" t="str">
        <f>IFERROR(VLOOKUP($A19,'listener-get'!$A:$D,3,FALSE),IFERROR(VLOOKUP($A19,'listener-post'!$A:$D,3,FALSE),IFERROR(VLOOKUP($A19,'andon-get'!$A:$D,3,FALSE),IFERROR(VLOOKUP($A19,'admin-delete'!$A:$D,3,FALSE),IFERROR(VLOOKUP($A19,'admin-get'!$A:$D,3,FALSE),IFERROR(VLOOKUP($A19,'admin-put'!$A:$D,3,FALSE),IFERROR(VLOOKUP($A19,'admin-post'!$A:$D,3,FALSE),"")))))))</f>
        <v/>
      </c>
      <c r="D19" s="19" t="str">
        <f>IF(IFERROR(MATCH(A19,'listener-get'!$A:$A,0),"")&lt;&gt;"","listener-get",IF(IFERROR(MATCH(A19,'listener-post'!$A:$A,0),"")&lt;&gt;"","listener-post",IF(IFERROR(MATCH(A19,'andon-get'!$A:$A,0),"")&lt;&gt;"","andon-get",IF(IFERROR(MATCH(A19,'admin-post'!$A:$A,0),"")&lt;&gt;"","admin-post",IF(IFERROR(MATCH(A19,'admin-put'!$A:$A,0),"")&lt;&gt;"","admin-put",IF(IFERROR(MATCH(A19,'admin-get'!$A:$A,0),"")&lt;&gt;"","admin-get",IF(IFERROR(MATCH(A19,'admin-delete'!$A:$A,0),"")&lt;&gt;"","admin-delete","")))))))</f>
        <v/>
      </c>
    </row>
    <row r="20" spans="1:4" x14ac:dyDescent="0.25">
      <c r="A20">
        <v>16</v>
      </c>
      <c r="B20" t="str">
        <f>IFERROR(VLOOKUP($A20,'listener-get'!$A:$D,2,FALSE),IFERROR(VLOOKUP($A20,'listener-post'!$A:$D,2,FALSE),IFERROR(VLOOKUP($A20,'andon-get'!$A:$D,2,FALSE),IFERROR(VLOOKUP($A20,'admin-delete'!$A:$D,2,FALSE),IFERROR(VLOOKUP($A20,'admin-get'!$A:$D,2,FALSE),IFERROR(VLOOKUP($A20,'admin-put'!$A:$D,2,FALSE),IFERROR(VLOOKUP($A20,'admin-post'!$A:$D,2,FALSE),"")))))))</f>
        <v/>
      </c>
      <c r="C20" t="str">
        <f>IFERROR(VLOOKUP($A20,'listener-get'!$A:$D,3,FALSE),IFERROR(VLOOKUP($A20,'listener-post'!$A:$D,3,FALSE),IFERROR(VLOOKUP($A20,'andon-get'!$A:$D,3,FALSE),IFERROR(VLOOKUP($A20,'admin-delete'!$A:$D,3,FALSE),IFERROR(VLOOKUP($A20,'admin-get'!$A:$D,3,FALSE),IFERROR(VLOOKUP($A20,'admin-put'!$A:$D,3,FALSE),IFERROR(VLOOKUP($A20,'admin-post'!$A:$D,3,FALSE),"")))))))</f>
        <v/>
      </c>
      <c r="D20" s="19" t="str">
        <f>IF(IFERROR(MATCH(A20,'listener-get'!$A:$A,0),"")&lt;&gt;"","listener-get",IF(IFERROR(MATCH(A20,'listener-post'!$A:$A,0),"")&lt;&gt;"","listener-post",IF(IFERROR(MATCH(A20,'andon-get'!$A:$A,0),"")&lt;&gt;"","andon-get",IF(IFERROR(MATCH(A20,'admin-post'!$A:$A,0),"")&lt;&gt;"","admin-post",IF(IFERROR(MATCH(A20,'admin-put'!$A:$A,0),"")&lt;&gt;"","admin-put",IF(IFERROR(MATCH(A20,'admin-get'!$A:$A,0),"")&lt;&gt;"","admin-get",IF(IFERROR(MATCH(A20,'admin-delete'!$A:$A,0),"")&lt;&gt;"","admin-delete","")))))))</f>
        <v/>
      </c>
    </row>
    <row r="21" spans="1:4" x14ac:dyDescent="0.25">
      <c r="A21">
        <v>17</v>
      </c>
      <c r="B21" t="str">
        <f>IFERROR(VLOOKUP($A21,'listener-get'!$A:$D,2,FALSE),IFERROR(VLOOKUP($A21,'listener-post'!$A:$D,2,FALSE),IFERROR(VLOOKUP($A21,'andon-get'!$A:$D,2,FALSE),IFERROR(VLOOKUP($A21,'admin-delete'!$A:$D,2,FALSE),IFERROR(VLOOKUP($A21,'admin-get'!$A:$D,2,FALSE),IFERROR(VLOOKUP($A21,'admin-put'!$A:$D,2,FALSE),IFERROR(VLOOKUP($A21,'admin-post'!$A:$D,2,FALSE),"")))))))</f>
        <v/>
      </c>
      <c r="C21" t="str">
        <f>IFERROR(VLOOKUP($A21,'listener-get'!$A:$D,3,FALSE),IFERROR(VLOOKUP($A21,'listener-post'!$A:$D,3,FALSE),IFERROR(VLOOKUP($A21,'andon-get'!$A:$D,3,FALSE),IFERROR(VLOOKUP($A21,'admin-delete'!$A:$D,3,FALSE),IFERROR(VLOOKUP($A21,'admin-get'!$A:$D,3,FALSE),IFERROR(VLOOKUP($A21,'admin-put'!$A:$D,3,FALSE),IFERROR(VLOOKUP($A21,'admin-post'!$A:$D,3,FALSE),"")))))))</f>
        <v/>
      </c>
      <c r="D21" s="19" t="str">
        <f>IF(IFERROR(MATCH(A21,'listener-get'!$A:$A,0),"")&lt;&gt;"","listener-get",IF(IFERROR(MATCH(A21,'listener-post'!$A:$A,0),"")&lt;&gt;"","listener-post",IF(IFERROR(MATCH(A21,'andon-get'!$A:$A,0),"")&lt;&gt;"","andon-get",IF(IFERROR(MATCH(A21,'admin-post'!$A:$A,0),"")&lt;&gt;"","admin-post",IF(IFERROR(MATCH(A21,'admin-put'!$A:$A,0),"")&lt;&gt;"","admin-put",IF(IFERROR(MATCH(A21,'admin-get'!$A:$A,0),"")&lt;&gt;"","admin-get",IF(IFERROR(MATCH(A21,'admin-delete'!$A:$A,0),"")&lt;&gt;"","admin-delete","")))))))</f>
        <v/>
      </c>
    </row>
    <row r="22" spans="1:4" x14ac:dyDescent="0.25">
      <c r="A22">
        <v>18</v>
      </c>
      <c r="B22" t="str">
        <f>IFERROR(VLOOKUP($A22,'listener-get'!$A:$D,2,FALSE),IFERROR(VLOOKUP($A22,'listener-post'!$A:$D,2,FALSE),IFERROR(VLOOKUP($A22,'andon-get'!$A:$D,2,FALSE),IFERROR(VLOOKUP($A22,'admin-delete'!$A:$D,2,FALSE),IFERROR(VLOOKUP($A22,'admin-get'!$A:$D,2,FALSE),IFERROR(VLOOKUP($A22,'admin-put'!$A:$D,2,FALSE),IFERROR(VLOOKUP($A22,'admin-post'!$A:$D,2,FALSE),"")))))))</f>
        <v/>
      </c>
      <c r="C22" t="str">
        <f>IFERROR(VLOOKUP($A22,'listener-get'!$A:$D,3,FALSE),IFERROR(VLOOKUP($A22,'listener-post'!$A:$D,3,FALSE),IFERROR(VLOOKUP($A22,'andon-get'!$A:$D,3,FALSE),IFERROR(VLOOKUP($A22,'admin-delete'!$A:$D,3,FALSE),IFERROR(VLOOKUP($A22,'admin-get'!$A:$D,3,FALSE),IFERROR(VLOOKUP($A22,'admin-put'!$A:$D,3,FALSE),IFERROR(VLOOKUP($A22,'admin-post'!$A:$D,3,FALSE),"")))))))</f>
        <v/>
      </c>
      <c r="D22" s="19" t="str">
        <f>IF(IFERROR(MATCH(A22,'listener-get'!$A:$A,0),"")&lt;&gt;"","listener-get",IF(IFERROR(MATCH(A22,'listener-post'!$A:$A,0),"")&lt;&gt;"","listener-post",IF(IFERROR(MATCH(A22,'andon-get'!$A:$A,0),"")&lt;&gt;"","andon-get",IF(IFERROR(MATCH(A22,'admin-post'!$A:$A,0),"")&lt;&gt;"","admin-post",IF(IFERROR(MATCH(A22,'admin-put'!$A:$A,0),"")&lt;&gt;"","admin-put",IF(IFERROR(MATCH(A22,'admin-get'!$A:$A,0),"")&lt;&gt;"","admin-get",IF(IFERROR(MATCH(A22,'admin-delete'!$A:$A,0),"")&lt;&gt;"","admin-delete","")))))))</f>
        <v/>
      </c>
    </row>
    <row r="23" spans="1:4" x14ac:dyDescent="0.25">
      <c r="A23">
        <v>19</v>
      </c>
      <c r="B23" t="str">
        <f>IFERROR(VLOOKUP($A23,'listener-get'!$A:$D,2,FALSE),IFERROR(VLOOKUP($A23,'listener-post'!$A:$D,2,FALSE),IFERROR(VLOOKUP($A23,'andon-get'!$A:$D,2,FALSE),IFERROR(VLOOKUP($A23,'admin-delete'!$A:$D,2,FALSE),IFERROR(VLOOKUP($A23,'admin-get'!$A:$D,2,FALSE),IFERROR(VLOOKUP($A23,'admin-put'!$A:$D,2,FALSE),IFERROR(VLOOKUP($A23,'admin-post'!$A:$D,2,FALSE),"")))))))</f>
        <v/>
      </c>
      <c r="C23" t="str">
        <f>IFERROR(VLOOKUP($A23,'listener-get'!$A:$D,3,FALSE),IFERROR(VLOOKUP($A23,'listener-post'!$A:$D,3,FALSE),IFERROR(VLOOKUP($A23,'andon-get'!$A:$D,3,FALSE),IFERROR(VLOOKUP($A23,'admin-delete'!$A:$D,3,FALSE),IFERROR(VLOOKUP($A23,'admin-get'!$A:$D,3,FALSE),IFERROR(VLOOKUP($A23,'admin-put'!$A:$D,3,FALSE),IFERROR(VLOOKUP($A23,'admin-post'!$A:$D,3,FALSE),"")))))))</f>
        <v/>
      </c>
      <c r="D23" s="19" t="str">
        <f>IF(IFERROR(MATCH(A23,'listener-get'!$A:$A,0),"")&lt;&gt;"","listener-get",IF(IFERROR(MATCH(A23,'listener-post'!$A:$A,0),"")&lt;&gt;"","listener-post",IF(IFERROR(MATCH(A23,'andon-get'!$A:$A,0),"")&lt;&gt;"","andon-get",IF(IFERROR(MATCH(A23,'admin-post'!$A:$A,0),"")&lt;&gt;"","admin-post",IF(IFERROR(MATCH(A23,'admin-put'!$A:$A,0),"")&lt;&gt;"","admin-put",IF(IFERROR(MATCH(A23,'admin-get'!$A:$A,0),"")&lt;&gt;"","admin-get",IF(IFERROR(MATCH(A23,'admin-delete'!$A:$A,0),"")&lt;&gt;"","admin-delete","")))))))</f>
        <v/>
      </c>
    </row>
    <row r="24" spans="1:4" x14ac:dyDescent="0.25">
      <c r="A24">
        <v>20</v>
      </c>
      <c r="B24" t="str">
        <f>IFERROR(VLOOKUP($A24,'listener-get'!$A:$D,2,FALSE),IFERROR(VLOOKUP($A24,'listener-post'!$A:$D,2,FALSE),IFERROR(VLOOKUP($A24,'andon-get'!$A:$D,2,FALSE),IFERROR(VLOOKUP($A24,'admin-delete'!$A:$D,2,FALSE),IFERROR(VLOOKUP($A24,'admin-get'!$A:$D,2,FALSE),IFERROR(VLOOKUP($A24,'admin-put'!$A:$D,2,FALSE),IFERROR(VLOOKUP($A24,'admin-post'!$A:$D,2,FALSE),"")))))))</f>
        <v/>
      </c>
      <c r="C24" t="str">
        <f>IFERROR(VLOOKUP($A24,'listener-get'!$A:$D,3,FALSE),IFERROR(VLOOKUP($A24,'listener-post'!$A:$D,3,FALSE),IFERROR(VLOOKUP($A24,'andon-get'!$A:$D,3,FALSE),IFERROR(VLOOKUP($A24,'admin-delete'!$A:$D,3,FALSE),IFERROR(VLOOKUP($A24,'admin-get'!$A:$D,3,FALSE),IFERROR(VLOOKUP($A24,'admin-put'!$A:$D,3,FALSE),IFERROR(VLOOKUP($A24,'admin-post'!$A:$D,3,FALSE),"")))))))</f>
        <v/>
      </c>
      <c r="D24" s="19" t="str">
        <f>IF(IFERROR(MATCH(A24,'listener-get'!$A:$A,0),"")&lt;&gt;"","listener-get",IF(IFERROR(MATCH(A24,'listener-post'!$A:$A,0),"")&lt;&gt;"","listener-post",IF(IFERROR(MATCH(A24,'andon-get'!$A:$A,0),"")&lt;&gt;"","andon-get",IF(IFERROR(MATCH(A24,'admin-post'!$A:$A,0),"")&lt;&gt;"","admin-post",IF(IFERROR(MATCH(A24,'admin-put'!$A:$A,0),"")&lt;&gt;"","admin-put",IF(IFERROR(MATCH(A24,'admin-get'!$A:$A,0),"")&lt;&gt;"","admin-get",IF(IFERROR(MATCH(A24,'admin-delete'!$A:$A,0),"")&lt;&gt;"","admin-delete","")))))))</f>
        <v/>
      </c>
    </row>
  </sheetData>
  <phoneticPr fontId="9" type="noConversion"/>
  <hyperlinks>
    <hyperlink ref="A1" r:id="rId1" xr:uid="{00000000-0004-0000-0700-000000000000}"/>
  </hyperlinks>
  <pageMargins left="0.7" right="0.7" top="0.75" bottom="0.75" header="0.3" footer="0.3"/>
  <pageSetup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G4"/>
  <sheetViews>
    <sheetView workbookViewId="0">
      <selection activeCell="E24" sqref="E24"/>
    </sheetView>
  </sheetViews>
  <sheetFormatPr defaultRowHeight="15.75" x14ac:dyDescent="0.25"/>
  <cols>
    <col min="1" max="1" width="4.28515625" bestFit="1" customWidth="1"/>
    <col min="2" max="2" width="37.28515625" bestFit="1" customWidth="1"/>
    <col min="3" max="4" width="7.7109375" bestFit="1" customWidth="1"/>
    <col min="5" max="5" width="62.42578125" bestFit="1" customWidth="1"/>
    <col min="6" max="6" width="72.7109375" bestFit="1" customWidth="1"/>
    <col min="7" max="7" width="19" bestFit="1" customWidth="1"/>
  </cols>
  <sheetData>
    <row r="1" spans="2:7" s="21" customFormat="1" ht="13.5" x14ac:dyDescent="0.25">
      <c r="B1" s="21" t="s">
        <v>83</v>
      </c>
      <c r="C1" s="21" t="s">
        <v>84</v>
      </c>
      <c r="D1" s="21" t="s">
        <v>85</v>
      </c>
      <c r="E1" s="21" t="s">
        <v>86</v>
      </c>
      <c r="F1" s="21" t="s">
        <v>87</v>
      </c>
      <c r="G1" s="21" t="s">
        <v>88</v>
      </c>
    </row>
    <row r="2" spans="2:7" s="20" customFormat="1" ht="13.5" x14ac:dyDescent="0.25">
      <c r="B2" s="20" t="s">
        <v>89</v>
      </c>
      <c r="C2" s="20" t="s">
        <v>19</v>
      </c>
      <c r="E2" s="20" t="s">
        <v>90</v>
      </c>
      <c r="F2" s="20" t="s">
        <v>91</v>
      </c>
      <c r="G2" s="20" t="s">
        <v>92</v>
      </c>
    </row>
    <row r="3" spans="2:7" s="20" customFormat="1" ht="13.5" x14ac:dyDescent="0.25"/>
    <row r="4" spans="2:7" x14ac:dyDescent="0.25">
      <c r="B4" s="102" t="s">
        <v>93</v>
      </c>
      <c r="C4" s="102"/>
      <c r="D4" s="102"/>
      <c r="E4" s="102"/>
      <c r="F4" s="102"/>
      <c r="G4" s="102"/>
    </row>
  </sheetData>
  <mergeCells count="1">
    <mergeCell ref="B4:G4"/>
  </mergeCells>
  <phoneticPr fontId="9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admin-delete</vt:lpstr>
      <vt:lpstr>admin-get</vt:lpstr>
      <vt:lpstr>admin-put</vt:lpstr>
      <vt:lpstr>admin-post</vt:lpstr>
      <vt:lpstr>andon-get</vt:lpstr>
      <vt:lpstr>listener-get</vt:lpstr>
      <vt:lpstr>listener-post</vt:lpstr>
      <vt:lpstr>API</vt:lpstr>
      <vt:lpstr>help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Cliff Morrison (TMMC)</dc:creator>
  <cp:keywords/>
  <dc:description/>
  <cp:lastModifiedBy>兆中 劉</cp:lastModifiedBy>
  <cp:revision/>
  <dcterms:created xsi:type="dcterms:W3CDTF">2019-01-09T17:00:06Z</dcterms:created>
  <dcterms:modified xsi:type="dcterms:W3CDTF">2026-06-16T03:36:58Z</dcterms:modified>
  <cp:category/>
  <cp:contentStatus/>
</cp:coreProperties>
</file>